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bian\Downloads\controle-horas-esconaud-main\"/>
    </mc:Choice>
  </mc:AlternateContent>
  <xr:revisionPtr revIDLastSave="0" documentId="13_ncr:1_{830F2821-BDAA-4E63-B7AA-5CFA4258219D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1" l="1" a="1"/>
  <c r="N17" i="1" s="1"/>
  <c r="N18" i="1" a="1"/>
  <c r="N18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/>
  <c r="N32" i="1" a="1"/>
  <c r="N32" i="1" s="1"/>
  <c r="N33" i="1" a="1"/>
  <c r="N33" i="1" s="1"/>
  <c r="N34" i="1" a="1"/>
  <c r="N34" i="1" s="1"/>
  <c r="N35" i="1" a="1"/>
  <c r="N35" i="1" s="1"/>
  <c r="N36" i="1" a="1"/>
  <c r="N36" i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/>
  <c r="N44" i="1" a="1"/>
  <c r="N44" i="1" s="1"/>
  <c r="N45" i="1" a="1"/>
  <c r="N45" i="1" s="1"/>
  <c r="M17" i="1" a="1"/>
  <c r="M17" i="1" s="1"/>
  <c r="M18" i="1" a="1"/>
  <c r="M18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31" i="1" a="1"/>
  <c r="M31" i="1" s="1"/>
  <c r="M32" i="1" a="1"/>
  <c r="M32" i="1" s="1"/>
  <c r="M33" i="1" a="1"/>
  <c r="M33" i="1" s="1"/>
  <c r="M34" i="1" a="1"/>
  <c r="M34" i="1" s="1"/>
  <c r="M35" i="1" a="1"/>
  <c r="M35" i="1" s="1"/>
  <c r="M36" i="1" a="1"/>
  <c r="M36" i="1" s="1"/>
  <c r="M37" i="1" a="1"/>
  <c r="M37" i="1" s="1"/>
  <c r="M38" i="1" a="1"/>
  <c r="M38" i="1" s="1"/>
  <c r="M39" i="1" a="1"/>
  <c r="M39" i="1" s="1"/>
  <c r="M40" i="1" a="1"/>
  <c r="M40" i="1" s="1"/>
  <c r="M41" i="1" a="1"/>
  <c r="M41" i="1" s="1"/>
  <c r="M42" i="1" a="1"/>
  <c r="M42" i="1" s="1"/>
  <c r="M43" i="1" a="1"/>
  <c r="M43" i="1" s="1"/>
  <c r="M44" i="1" a="1"/>
  <c r="M44" i="1" s="1"/>
  <c r="M45" i="1" a="1"/>
  <c r="M45" i="1" s="1"/>
  <c r="AC10" i="1"/>
  <c r="AC5" i="1"/>
  <c r="AD5" i="1"/>
  <c r="AE5" i="1"/>
  <c r="AF5" i="1"/>
  <c r="AC6" i="1"/>
  <c r="AD6" i="1"/>
  <c r="AE6" i="1"/>
  <c r="AF6" i="1"/>
  <c r="AC7" i="1"/>
  <c r="AD7" i="1"/>
  <c r="AE7" i="1"/>
  <c r="AF7" i="1"/>
  <c r="AC8" i="1"/>
  <c r="AD8" i="1"/>
  <c r="AE8" i="1"/>
  <c r="AF8" i="1"/>
  <c r="AC9" i="1"/>
  <c r="AD9" i="1"/>
  <c r="AE9" i="1"/>
  <c r="AF9" i="1"/>
  <c r="AD10" i="1"/>
  <c r="AE10" i="1"/>
  <c r="AF10" i="1"/>
  <c r="AC4" i="1"/>
  <c r="V48" i="1"/>
  <c r="AD4" i="1"/>
  <c r="AE4" i="1"/>
  <c r="AF4" i="1"/>
  <c r="AC15" i="1"/>
  <c r="O12" i="1"/>
  <c r="AC21" i="1"/>
  <c r="U50" i="1"/>
  <c r="U49" i="1"/>
  <c r="O52" i="1"/>
  <c r="O51" i="1"/>
  <c r="N16" i="1" a="1"/>
  <c r="M16" i="1" a="1"/>
  <c r="M15" i="1" a="1"/>
  <c r="N16" i="1" l="1"/>
  <c r="M16" i="1"/>
  <c r="M15" i="1"/>
  <c r="P12" i="1"/>
  <c r="AN17" i="1" l="1"/>
  <c r="AC16" i="1" l="1"/>
  <c r="AC17" i="1"/>
  <c r="AC18" i="1"/>
  <c r="AC19" i="1"/>
  <c r="AC20" i="1"/>
  <c r="AD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P17" i="1"/>
  <c r="AO17" i="1"/>
  <c r="AP16" i="1"/>
  <c r="AO16" i="1"/>
  <c r="AN16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15" i="1"/>
  <c r="AH15" i="1" s="1"/>
  <c r="AD38" i="1" l="1"/>
  <c r="AD30" i="1"/>
  <c r="AD22" i="1"/>
  <c r="AD17" i="1"/>
  <c r="AD31" i="1"/>
  <c r="AD45" i="1"/>
  <c r="AD37" i="1"/>
  <c r="AD29" i="1"/>
  <c r="AD41" i="1"/>
  <c r="AD25" i="1"/>
  <c r="AD39" i="1"/>
  <c r="AD23" i="1"/>
  <c r="AD36" i="1"/>
  <c r="AD28" i="1"/>
  <c r="AD20" i="1"/>
  <c r="AD33" i="1"/>
  <c r="AD40" i="1"/>
  <c r="AD32" i="1"/>
  <c r="AD24" i="1"/>
  <c r="AD43" i="1"/>
  <c r="AD35" i="1"/>
  <c r="AD27" i="1"/>
  <c r="AD19" i="1"/>
  <c r="AD42" i="1"/>
  <c r="AD34" i="1"/>
  <c r="AD26" i="1"/>
  <c r="AD18" i="1"/>
  <c r="AD16" i="1"/>
  <c r="AD15" i="1"/>
  <c r="AE38" i="1"/>
  <c r="AE30" i="1"/>
  <c r="L30" i="1" s="1"/>
  <c r="AE22" i="1"/>
  <c r="AE42" i="1"/>
  <c r="AE34" i="1"/>
  <c r="AE26" i="1"/>
  <c r="L26" i="1" s="1"/>
  <c r="AE41" i="1"/>
  <c r="AE37" i="1"/>
  <c r="AE33" i="1"/>
  <c r="AE29" i="1"/>
  <c r="AE25" i="1"/>
  <c r="AE21" i="1"/>
  <c r="L21" i="1" s="1"/>
  <c r="AE40" i="1"/>
  <c r="AE36" i="1"/>
  <c r="L36" i="1" s="1"/>
  <c r="AE28" i="1"/>
  <c r="AE24" i="1"/>
  <c r="AE43" i="1"/>
  <c r="AE39" i="1"/>
  <c r="AE35" i="1"/>
  <c r="AE31" i="1"/>
  <c r="AE27" i="1"/>
  <c r="AE23" i="1"/>
  <c r="AE19" i="1"/>
  <c r="AE20" i="1"/>
  <c r="AE32" i="1"/>
  <c r="L32" i="1" s="1"/>
  <c r="AE17" i="1"/>
  <c r="L17" i="1" s="1"/>
  <c r="AE18" i="1"/>
  <c r="AD44" i="1"/>
  <c r="AF41" i="1"/>
  <c r="AF37" i="1"/>
  <c r="AF29" i="1"/>
  <c r="AH34" i="1"/>
  <c r="AH22" i="1"/>
  <c r="AH41" i="1"/>
  <c r="AH42" i="1"/>
  <c r="AH30" i="1"/>
  <c r="AH26" i="1"/>
  <c r="AH40" i="1"/>
  <c r="AH36" i="1"/>
  <c r="AH32" i="1"/>
  <c r="AH28" i="1"/>
  <c r="AH24" i="1"/>
  <c r="D24" i="1" s="1"/>
  <c r="AH20" i="1"/>
  <c r="AH16" i="1"/>
  <c r="AH38" i="1"/>
  <c r="AH37" i="1"/>
  <c r="AH18" i="1"/>
  <c r="AH33" i="1"/>
  <c r="AH29" i="1"/>
  <c r="AH25" i="1"/>
  <c r="AH21" i="1"/>
  <c r="AH17" i="1"/>
  <c r="AH39" i="1"/>
  <c r="AH35" i="1"/>
  <c r="AH31" i="1"/>
  <c r="AH27" i="1"/>
  <c r="AH23" i="1"/>
  <c r="AH19" i="1"/>
  <c r="R41" i="1" a="1"/>
  <c r="R37" i="1" a="1"/>
  <c r="K24" i="1" a="1"/>
  <c r="R29" i="1" a="1"/>
  <c r="L40" i="1" l="1"/>
  <c r="L34" i="1"/>
  <c r="L27" i="1"/>
  <c r="L23" i="1"/>
  <c r="L18" i="1"/>
  <c r="L35" i="1"/>
  <c r="L25" i="1"/>
  <c r="L22" i="1"/>
  <c r="L24" i="1"/>
  <c r="L28" i="1"/>
  <c r="L41" i="1"/>
  <c r="L20" i="1"/>
  <c r="L37" i="1"/>
  <c r="L19" i="1"/>
  <c r="L29" i="1"/>
  <c r="K24" i="1"/>
  <c r="R37" i="1"/>
  <c r="Q37" i="1" s="1"/>
  <c r="R41" i="1"/>
  <c r="Q41" i="1" s="1"/>
  <c r="S41" i="1" s="1"/>
  <c r="R29" i="1"/>
  <c r="Q29" i="1" s="1"/>
  <c r="S29" i="1" s="1"/>
  <c r="L31" i="1"/>
  <c r="L42" i="1"/>
  <c r="J29" i="1"/>
  <c r="L39" i="1"/>
  <c r="J37" i="1"/>
  <c r="L43" i="1"/>
  <c r="L33" i="1"/>
  <c r="L38" i="1"/>
  <c r="AE45" i="1"/>
  <c r="AE16" i="1"/>
  <c r="J41" i="1"/>
  <c r="AE15" i="1"/>
  <c r="AF21" i="1"/>
  <c r="AF33" i="1"/>
  <c r="J33" i="1" s="1"/>
  <c r="AF25" i="1"/>
  <c r="AF27" i="1"/>
  <c r="J27" i="1" s="1"/>
  <c r="AF35" i="1"/>
  <c r="AF43" i="1"/>
  <c r="J43" i="1" s="1"/>
  <c r="AF28" i="1"/>
  <c r="AF40" i="1"/>
  <c r="J40" i="1" s="1"/>
  <c r="AF34" i="1"/>
  <c r="J34" i="1" s="1"/>
  <c r="AF22" i="1"/>
  <c r="AF38" i="1"/>
  <c r="AF19" i="1"/>
  <c r="AF23" i="1"/>
  <c r="AF31" i="1"/>
  <c r="J31" i="1" s="1"/>
  <c r="AF39" i="1"/>
  <c r="AF24" i="1"/>
  <c r="J24" i="1" s="1"/>
  <c r="AF36" i="1"/>
  <c r="J36" i="1" s="1"/>
  <c r="AF26" i="1"/>
  <c r="J26" i="1" s="1"/>
  <c r="AF42" i="1"/>
  <c r="AF30" i="1"/>
  <c r="J30" i="1" s="1"/>
  <c r="AF20" i="1"/>
  <c r="AF32" i="1"/>
  <c r="AF17" i="1"/>
  <c r="AF18" i="1"/>
  <c r="J18" i="1" s="1"/>
  <c r="AE44" i="1"/>
  <c r="L44" i="1" s="1"/>
  <c r="M19" i="1" a="1"/>
  <c r="N19" i="1" a="1"/>
  <c r="R35" i="1" a="1"/>
  <c r="R18" i="1" a="1"/>
  <c r="R34" i="1" a="1"/>
  <c r="R23" i="1" a="1"/>
  <c r="R38" i="1" a="1"/>
  <c r="R27" i="1" a="1"/>
  <c r="R20" i="1" a="1"/>
  <c r="R42" i="1" a="1"/>
  <c r="R30" i="1" a="1"/>
  <c r="R43" i="1" a="1"/>
  <c r="R36" i="1" a="1"/>
  <c r="R33" i="1" a="1"/>
  <c r="R31" i="1" a="1"/>
  <c r="R25" i="1" a="1"/>
  <c r="R22" i="1" a="1"/>
  <c r="R32" i="1" a="1"/>
  <c r="R28" i="1" a="1"/>
  <c r="R26" i="1" a="1"/>
  <c r="R39" i="1" a="1"/>
  <c r="R21" i="1" a="1"/>
  <c r="R19" i="1" a="1"/>
  <c r="R40" i="1" a="1"/>
  <c r="R24" i="1" a="1"/>
  <c r="R17" i="1" a="1"/>
  <c r="N19" i="1" l="1"/>
  <c r="M19" i="1"/>
  <c r="J39" i="1"/>
  <c r="R19" i="1"/>
  <c r="Q19" i="1" s="1"/>
  <c r="S19" i="1" s="1"/>
  <c r="R26" i="1"/>
  <c r="Q26" i="1" s="1"/>
  <c r="S26" i="1" s="1"/>
  <c r="R22" i="1"/>
  <c r="Q22" i="1" s="1"/>
  <c r="S22" i="1" s="1"/>
  <c r="R33" i="1"/>
  <c r="Q33" i="1" s="1"/>
  <c r="R30" i="1"/>
  <c r="Q30" i="1" s="1"/>
  <c r="S30" i="1" s="1"/>
  <c r="R27" i="1"/>
  <c r="Q27" i="1" s="1"/>
  <c r="R34" i="1"/>
  <c r="Q34" i="1" s="1"/>
  <c r="R24" i="1"/>
  <c r="Q24" i="1" s="1"/>
  <c r="R21" i="1"/>
  <c r="Q21" i="1" s="1"/>
  <c r="R28" i="1"/>
  <c r="Q28" i="1" s="1"/>
  <c r="R25" i="1"/>
  <c r="Q25" i="1" s="1"/>
  <c r="R36" i="1"/>
  <c r="Q36" i="1" s="1"/>
  <c r="S36" i="1" s="1"/>
  <c r="R42" i="1"/>
  <c r="Q42" i="1" s="1"/>
  <c r="S42" i="1" s="1"/>
  <c r="R38" i="1"/>
  <c r="Q38" i="1" s="1"/>
  <c r="R18" i="1"/>
  <c r="Q18" i="1" s="1"/>
  <c r="R40" i="1"/>
  <c r="Q40" i="1" s="1"/>
  <c r="R39" i="1"/>
  <c r="Q39" i="1" s="1"/>
  <c r="R32" i="1"/>
  <c r="R31" i="1"/>
  <c r="Q31" i="1" s="1"/>
  <c r="R43" i="1"/>
  <c r="R20" i="1"/>
  <c r="Q20" i="1" s="1"/>
  <c r="R23" i="1"/>
  <c r="Q23" i="1" s="1"/>
  <c r="R35" i="1"/>
  <c r="Q35" i="1" s="1"/>
  <c r="AF45" i="1"/>
  <c r="L45" i="1"/>
  <c r="J22" i="1"/>
  <c r="J38" i="1"/>
  <c r="J21" i="1"/>
  <c r="J17" i="1"/>
  <c r="L16" i="1"/>
  <c r="AF16" i="1"/>
  <c r="J42" i="1"/>
  <c r="J28" i="1"/>
  <c r="J19" i="1"/>
  <c r="L15" i="1"/>
  <c r="J35" i="1"/>
  <c r="J25" i="1"/>
  <c r="J32" i="1"/>
  <c r="J20" i="1"/>
  <c r="J23" i="1"/>
  <c r="R17" i="1"/>
  <c r="Q17" i="1" s="1"/>
  <c r="Q32" i="1"/>
  <c r="T29" i="1"/>
  <c r="U29" i="1"/>
  <c r="T41" i="1"/>
  <c r="U41" i="1"/>
  <c r="S37" i="1"/>
  <c r="AF15" i="1"/>
  <c r="AF44" i="1"/>
  <c r="N15" i="1" a="1"/>
  <c r="R44" i="1" a="1"/>
  <c r="R45" i="1" a="1"/>
  <c r="R16" i="1" a="1"/>
  <c r="R15" i="1" a="1"/>
  <c r="N15" i="1" l="1"/>
  <c r="O15" i="1" s="1"/>
  <c r="R16" i="1"/>
  <c r="Q16" i="1" s="1"/>
  <c r="S16" i="1" s="1"/>
  <c r="R45" i="1"/>
  <c r="R44" i="1"/>
  <c r="J16" i="1"/>
  <c r="J15" i="1"/>
  <c r="J45" i="1"/>
  <c r="J44" i="1"/>
  <c r="R15" i="1"/>
  <c r="Q15" i="1" s="1"/>
  <c r="S15" i="1" s="1"/>
  <c r="U15" i="1" s="1"/>
  <c r="U19" i="1"/>
  <c r="T19" i="1"/>
  <c r="T36" i="1"/>
  <c r="U36" i="1"/>
  <c r="T37" i="1"/>
  <c r="U37" i="1"/>
  <c r="U30" i="1"/>
  <c r="T30" i="1"/>
  <c r="T22" i="1"/>
  <c r="U22" i="1"/>
  <c r="T42" i="1"/>
  <c r="U42" i="1"/>
  <c r="T26" i="1"/>
  <c r="U26" i="1"/>
  <c r="S40" i="1"/>
  <c r="S21" i="1"/>
  <c r="S23" i="1"/>
  <c r="S20" i="1"/>
  <c r="S25" i="1"/>
  <c r="S31" i="1"/>
  <c r="S28" i="1"/>
  <c r="S32" i="1"/>
  <c r="S34" i="1"/>
  <c r="S18" i="1"/>
  <c r="S27" i="1"/>
  <c r="S24" i="1"/>
  <c r="S17" i="1"/>
  <c r="S38" i="1"/>
  <c r="S39" i="1"/>
  <c r="S35" i="1"/>
  <c r="S33" i="1"/>
  <c r="P48" i="1" l="1"/>
  <c r="U24" i="1"/>
  <c r="T24" i="1"/>
  <c r="T16" i="1"/>
  <c r="U16" i="1"/>
  <c r="U39" i="1"/>
  <c r="T39" i="1"/>
  <c r="U27" i="1"/>
  <c r="T27" i="1"/>
  <c r="U32" i="1"/>
  <c r="T32" i="1"/>
  <c r="T25" i="1"/>
  <c r="U25" i="1"/>
  <c r="U40" i="1"/>
  <c r="T40" i="1"/>
  <c r="T21" i="1"/>
  <c r="U21" i="1"/>
  <c r="U38" i="1"/>
  <c r="T38" i="1"/>
  <c r="T28" i="1"/>
  <c r="U28" i="1"/>
  <c r="T20" i="1"/>
  <c r="U20" i="1"/>
  <c r="U35" i="1"/>
  <c r="T35" i="1"/>
  <c r="T33" i="1"/>
  <c r="U33" i="1"/>
  <c r="U17" i="1"/>
  <c r="T17" i="1"/>
  <c r="T34" i="1"/>
  <c r="U34" i="1"/>
  <c r="U31" i="1"/>
  <c r="T31" i="1"/>
  <c r="U23" i="1"/>
  <c r="T23" i="1"/>
  <c r="U18" i="1"/>
  <c r="T18" i="1"/>
  <c r="T15" i="1"/>
  <c r="AO20" i="1"/>
  <c r="AP20" i="1" s="1"/>
  <c r="AN20" i="1"/>
  <c r="AM20" i="1"/>
  <c r="C45" i="1" l="1"/>
  <c r="D28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2" i="1"/>
  <c r="D32" i="1"/>
  <c r="D36" i="1"/>
  <c r="D15" i="1"/>
  <c r="D20" i="1"/>
  <c r="D40" i="1"/>
  <c r="D18" i="1"/>
  <c r="D22" i="1"/>
  <c r="D26" i="1"/>
  <c r="D30" i="1"/>
  <c r="D34" i="1"/>
  <c r="D38" i="1"/>
  <c r="D16" i="1"/>
  <c r="K27" i="1" a="1"/>
  <c r="K33" i="1" a="1"/>
  <c r="K21" i="1" a="1"/>
  <c r="K28" i="1" a="1"/>
  <c r="K15" i="1" a="1"/>
  <c r="K37" i="1" a="1"/>
  <c r="K31" i="1" a="1"/>
  <c r="K38" i="1" a="1"/>
  <c r="K40" i="1" a="1"/>
  <c r="K36" i="1" a="1"/>
  <c r="K16" i="1" a="1"/>
  <c r="K23" i="1" a="1"/>
  <c r="K29" i="1" a="1"/>
  <c r="K34" i="1" a="1"/>
  <c r="K41" i="1" a="1"/>
  <c r="K18" i="1" a="1"/>
  <c r="K32" i="1" a="1"/>
  <c r="K39" i="1" a="1"/>
  <c r="K19" i="1" a="1"/>
  <c r="K25" i="1" a="1"/>
  <c r="K30" i="1" a="1"/>
  <c r="K42" i="1" a="1"/>
  <c r="K20" i="1" a="1"/>
  <c r="K22" i="1" a="1"/>
  <c r="K35" i="1" a="1"/>
  <c r="K17" i="1" a="1"/>
  <c r="K26" i="1" a="1"/>
  <c r="K22" i="1" l="1"/>
  <c r="K25" i="1"/>
  <c r="K18" i="1"/>
  <c r="K23" i="1"/>
  <c r="K40" i="1"/>
  <c r="K37" i="1"/>
  <c r="K21" i="1"/>
  <c r="K26" i="1"/>
  <c r="K20" i="1"/>
  <c r="K19" i="1"/>
  <c r="K41" i="1"/>
  <c r="K16" i="1"/>
  <c r="K38" i="1"/>
  <c r="K15" i="1"/>
  <c r="K33" i="1"/>
  <c r="K17" i="1"/>
  <c r="K42" i="1"/>
  <c r="K39" i="1"/>
  <c r="K34" i="1"/>
  <c r="K36" i="1"/>
  <c r="K31" i="1"/>
  <c r="K28" i="1"/>
  <c r="K27" i="1"/>
  <c r="K35" i="1"/>
  <c r="K30" i="1"/>
  <c r="K32" i="1"/>
  <c r="K29" i="1"/>
  <c r="C44" i="1"/>
  <c r="C43" i="1" s="1"/>
  <c r="Q43" i="1" s="1"/>
  <c r="S43" i="1" s="1"/>
  <c r="O29" i="1"/>
  <c r="P29" i="1"/>
  <c r="P16" i="1"/>
  <c r="O16" i="1"/>
  <c r="W29" i="1"/>
  <c r="Q45" i="1"/>
  <c r="S45" i="1" s="1"/>
  <c r="W22" i="1"/>
  <c r="AG45" i="1"/>
  <c r="AH45" i="1" s="1"/>
  <c r="D45" i="1" s="1"/>
  <c r="K45" i="1" a="1"/>
  <c r="K45" i="1" l="1"/>
  <c r="AG43" i="1"/>
  <c r="AH43" i="1" s="1"/>
  <c r="D43" i="1" s="1"/>
  <c r="Q44" i="1"/>
  <c r="S44" i="1" s="1"/>
  <c r="U44" i="1" s="1"/>
  <c r="AG44" i="1"/>
  <c r="AH44" i="1" s="1"/>
  <c r="D44" i="1" s="1"/>
  <c r="Y15" i="1"/>
  <c r="V15" i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O27" i="1"/>
  <c r="P27" i="1"/>
  <c r="P28" i="1"/>
  <c r="O28" i="1"/>
  <c r="P32" i="1"/>
  <c r="O32" i="1"/>
  <c r="O25" i="1"/>
  <c r="P25" i="1"/>
  <c r="P24" i="1"/>
  <c r="O24" i="1"/>
  <c r="P41" i="1"/>
  <c r="O41" i="1"/>
  <c r="O26" i="1"/>
  <c r="P26" i="1"/>
  <c r="O34" i="1"/>
  <c r="P34" i="1"/>
  <c r="O42" i="1"/>
  <c r="P42" i="1"/>
  <c r="O33" i="1"/>
  <c r="P33" i="1"/>
  <c r="O37" i="1"/>
  <c r="P37" i="1"/>
  <c r="O38" i="1"/>
  <c r="P38" i="1"/>
  <c r="O31" i="1"/>
  <c r="P31" i="1"/>
  <c r="O30" i="1"/>
  <c r="P30" i="1"/>
  <c r="O21" i="1"/>
  <c r="P21" i="1"/>
  <c r="O19" i="1"/>
  <c r="P19" i="1"/>
  <c r="O18" i="1"/>
  <c r="P18" i="1"/>
  <c r="T43" i="1"/>
  <c r="U43" i="1"/>
  <c r="T45" i="1"/>
  <c r="U45" i="1"/>
  <c r="W37" i="1"/>
  <c r="V50" i="1"/>
  <c r="W20" i="1"/>
  <c r="W33" i="1"/>
  <c r="W40" i="1"/>
  <c r="W27" i="1"/>
  <c r="W26" i="1"/>
  <c r="W36" i="1"/>
  <c r="W39" i="1"/>
  <c r="W25" i="1"/>
  <c r="P49" i="1"/>
  <c r="P50" i="1" s="1"/>
  <c r="K44" i="1" a="1"/>
  <c r="K43" i="1" a="1"/>
  <c r="K44" i="1" l="1"/>
  <c r="K43" i="1"/>
  <c r="W16" i="1"/>
  <c r="T44" i="1"/>
  <c r="P44" i="1"/>
  <c r="U46" i="1"/>
  <c r="Y16" i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O22" i="1"/>
  <c r="P22" i="1"/>
  <c r="P36" i="1"/>
  <c r="O36" i="1"/>
  <c r="O35" i="1"/>
  <c r="P35" i="1"/>
  <c r="P40" i="1"/>
  <c r="O40" i="1"/>
  <c r="P15" i="1"/>
  <c r="O17" i="1"/>
  <c r="P17" i="1"/>
  <c r="P20" i="1"/>
  <c r="O20" i="1"/>
  <c r="O23" i="1"/>
  <c r="P23" i="1"/>
  <c r="O39" i="1"/>
  <c r="P39" i="1"/>
  <c r="P45" i="1"/>
  <c r="O45" i="1"/>
  <c r="O43" i="1"/>
  <c r="P43" i="1"/>
  <c r="W42" i="1"/>
  <c r="W45" i="1"/>
  <c r="V49" i="1"/>
  <c r="W30" i="1"/>
  <c r="W24" i="1"/>
  <c r="W32" i="1"/>
  <c r="W18" i="1"/>
  <c r="W38" i="1"/>
  <c r="W17" i="1"/>
  <c r="W31" i="1"/>
  <c r="W21" i="1"/>
  <c r="W41" i="1"/>
  <c r="W23" i="1"/>
  <c r="W34" i="1"/>
  <c r="W35" i="1"/>
  <c r="W28" i="1"/>
  <c r="W19" i="1"/>
  <c r="Q46" i="1"/>
  <c r="W44" i="1"/>
  <c r="W15" i="1"/>
  <c r="X15" i="1" s="1"/>
  <c r="X16" i="1" l="1"/>
  <c r="X17" i="1" s="1"/>
  <c r="X18" i="1" s="1"/>
  <c r="X19" i="1" s="1"/>
  <c r="X20" i="1" s="1"/>
  <c r="O44" i="1"/>
  <c r="O46" i="1" s="1"/>
  <c r="Y44" i="1"/>
  <c r="Y45" i="1" s="1"/>
  <c r="P46" i="1"/>
  <c r="T46" i="1"/>
  <c r="W43" i="1"/>
  <c r="P51" i="1" l="1"/>
  <c r="P52" i="1"/>
  <c r="X21" i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l="1"/>
  <c r="X42" i="1" l="1"/>
  <c r="X43" i="1" s="1"/>
  <c r="X44" i="1" s="1"/>
  <c r="X4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10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11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2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2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<sst xmlns="http://schemas.openxmlformats.org/spreadsheetml/2006/main" count="78" uniqueCount="62">
  <si>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</si>
  <si>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</si>
  <si>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</si>
  <si>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</si>
  <si>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</si>
  <si>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</si>
  <si>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</si>
  <si>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</si>
  <si>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</si>
  <si>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</si>
  <si>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</si>
  <si>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</si>
  <si>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</si>
  <si>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</si>
  <si>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</si>
  <si>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</si>
  <si>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</si>
  <si>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</si>
  <si>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</si>
  <si>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</si>
  <si>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</si>
  <si>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</si>
  <si>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</si>
  <si>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</si>
  <si>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</si>
  <si>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</si>
  <si>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</si>
  <si>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</si>
  <si>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</si>
  <si>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</si>
  <si>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</si>
  <si>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</si>
  <si>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</si>
  <si>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</si>
  <si>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</si>
  <si>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</si>
  <si>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</si>
  <si>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</si>
  <si>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</si>
  <si>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</si>
  <si>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</si>
  <si>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</si>
  <si>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</si>
  <si>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</si>
  <si>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</si>
  <si>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</si>
  <si>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</si>
  <si>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</si>
  <si>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</si>
  <si>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</si>
  <si>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</si>
  <si>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</si>
  <si>
    <t>J 8 SAB</t>
  </si>
  <si>
    <t>J 6 SAB</t>
  </si>
  <si>
    <t>DdS</t>
  </si>
  <si>
    <t>SEG</t>
  </si>
  <si>
    <t>TER</t>
  </si>
  <si>
    <t>QUA</t>
  </si>
  <si>
    <t>QUI</t>
  </si>
  <si>
    <t>SEX</t>
  </si>
  <si>
    <t>SAB</t>
  </si>
  <si>
    <t>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</si>
</sst>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2" fontId="0" fillId="0" borderId="0" xfId="0" applyNumberFormat="1"/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167" fontId="0" fillId="5" borderId="41" xfId="0" applyNumberFormat="1" applyFill="1" applyBorder="1" applyAlignment="1" applyProtection="1">
      <alignment horizontal="center"/>
      <protection locked="0" hidden="1"/>
    </xf>
    <xf numFmtId="167" fontId="0" fillId="5" borderId="42" xfId="0" applyNumberFormat="1" applyFill="1" applyBorder="1" applyAlignment="1" applyProtection="1">
      <alignment horizontal="center"/>
      <protection locked="0" hidden="1"/>
    </xf>
    <xf numFmtId="167" fontId="0" fillId="5" borderId="43" xfId="0" applyNumberFormat="1" applyFill="1" applyBorder="1" applyAlignment="1" applyProtection="1">
      <alignment horizontal="center"/>
      <protection locked="0" hidden="1"/>
    </xf>
    <xf numFmtId="167" fontId="0" fillId="5" borderId="44" xfId="0" applyNumberFormat="1" applyFill="1" applyBorder="1" applyAlignment="1" applyProtection="1">
      <alignment horizontal="center"/>
      <protection locked="0" hidden="1"/>
    </xf>
    <xf numFmtId="167" fontId="0" fillId="5" borderId="45" xfId="0" applyNumberFormat="1" applyFill="1" applyBorder="1" applyAlignment="1" applyProtection="1">
      <alignment horizontal="center"/>
      <protection locked="0" hidden="1"/>
    </xf>
    <xf numFmtId="167" fontId="0" fillId="5" borderId="46" xfId="0" applyNumberFormat="1" applyFill="1" applyBorder="1" applyAlignment="1" applyProtection="1">
      <alignment horizontal="center"/>
      <protection locked="0" hidden="1"/>
    </xf>
    <xf numFmtId="167" fontId="0" fillId="5" borderId="47" xfId="0" applyNumberFormat="1" applyFill="1" applyBorder="1" applyAlignment="1" applyProtection="1">
      <alignment horizontal="center"/>
      <protection locked="0" hidden="1"/>
    </xf>
    <xf numFmtId="167" fontId="0" fillId="5" borderId="48" xfId="0" applyNumberFormat="1" applyFill="1" applyBorder="1" applyAlignment="1" applyProtection="1">
      <alignment horizontal="center"/>
      <protection locked="0" hidden="1"/>
    </xf>
    <xf numFmtId="167" fontId="0" fillId="5" borderId="49" xfId="0" applyNumberFormat="1" applyFill="1" applyBorder="1" applyAlignment="1" applyProtection="1">
      <alignment horizontal="center"/>
      <protection locked="0" hidden="1"/>
    </xf>
    <xf numFmtId="167" fontId="1" fillId="5" borderId="50" xfId="0" applyNumberFormat="1" applyFont="1" applyFill="1" applyBorder="1" applyAlignment="1" applyProtection="1">
      <alignment horizontal="center"/>
      <protection locked="0" hidden="1"/>
    </xf>
    <xf numFmtId="167" fontId="1" fillId="5" borderId="51" xfId="0" applyNumberFormat="1" applyFont="1" applyFill="1" applyBorder="1" applyAlignment="1" applyProtection="1">
      <alignment horizontal="center"/>
      <protection locked="0" hidden="1"/>
    </xf>
    <xf numFmtId="167" fontId="1" fillId="5" borderId="52" xfId="0" applyNumberFormat="1" applyFont="1" applyFill="1" applyBorder="1" applyAlignment="1" applyProtection="1">
      <alignment horizontal="center"/>
      <protection locked="0" hidden="1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48</xdr:row>
      <xdr:rowOff>212912</xdr:rowOff>
    </xdr:from>
    <xdr:to>
      <xdr:col>9</xdr:col>
      <xdr:colOff>89340</xdr:colOff>
      <xdr:row>59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AW61"/>
  <sheetViews>
    <sheetView tabSelected="1" zoomScale="85" zoomScaleNormal="85" zoomScaleSheetLayoutView="70" workbookViewId="0">
      <selection activeCell="P52" sqref="P52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hidden="1" customWidth="1"/>
    <col min="28" max="28" width="10.6640625" hidden="1" customWidth="1"/>
    <col min="29" max="30" width="6.109375" hidden="1" customWidth="1"/>
    <col min="31" max="31" width="6.5546875" hidden="1" customWidth="1"/>
    <col min="32" max="32" width="6.109375" hidden="1" customWidth="1"/>
    <col min="33" max="33" width="10.88671875" hidden="1" customWidth="1"/>
    <col min="34" max="34" width="6.6640625" hidden="1" customWidth="1"/>
    <col min="35" max="35" width="9.109375" hidden="1" customWidth="1"/>
    <col min="36" max="36" width="10.6640625" hidden="1" customWidth="1"/>
    <col min="37" max="37" width="7.109375" hidden="1" customWidth="1"/>
    <col min="38" max="38" width="9.109375" hidden="1" customWidth="1"/>
    <col min="39" max="42" width="9.88671875" hidden="1" customWidth="1"/>
    <col min="43" max="43" width="9.109375" hidden="1" customWidth="1"/>
    <col min="44" max="44" width="10" bestFit="1" customWidth="1"/>
    <col min="49" max="49" width="8.44140625" bestFit="1" customWidth="1"/>
  </cols>
  <sheetData>
    <row r="1" spans="2:49" ht="15" thickBot="1" x14ac:dyDescent="0.35">
      <c r="G1" s="121" t="s">
        <v>50</v>
      </c>
      <c r="H1" s="121"/>
    </row>
    <row r="2" spans="2:49" ht="15" thickBot="1" x14ac:dyDescent="0.35">
      <c r="E2" s="3" t="s">
        <v>54</v>
      </c>
      <c r="F2" s="3" t="s">
        <v>16</v>
      </c>
      <c r="G2" s="3" t="s">
        <v>17</v>
      </c>
      <c r="H2" s="3" t="s">
        <v>18</v>
      </c>
      <c r="I2" s="3" t="s">
        <v>19</v>
      </c>
      <c r="S2" s="2"/>
      <c r="T2" s="2"/>
      <c r="Z2" s="1"/>
      <c r="AA2" s="22"/>
    </row>
    <row r="3" spans="2:49" x14ac:dyDescent="0.3">
      <c r="E3" s="88" t="s">
        <v>55</v>
      </c>
      <c r="F3" s="85"/>
      <c r="G3" s="79"/>
      <c r="H3" s="79"/>
      <c r="I3" s="80"/>
      <c r="R3" s="2"/>
      <c r="S3" s="2"/>
      <c r="T3" s="2"/>
      <c r="U3" s="2"/>
      <c r="Z3" s="1"/>
      <c r="AD3" t="s">
        <v>51</v>
      </c>
    </row>
    <row r="4" spans="2:49" ht="18" customHeight="1" x14ac:dyDescent="0.3">
      <c r="E4" s="89" t="s">
        <v>56</v>
      </c>
      <c r="F4" s="86"/>
      <c r="G4" s="81"/>
      <c r="H4" s="81"/>
      <c r="I4" s="82"/>
      <c r="U4" s="2"/>
      <c r="Z4" s="2"/>
      <c r="AA4" s="2"/>
      <c r="AB4" t="s">
        <v>55</v>
      </c>
      <c r="AC4" s="23">
        <f>IFERROR(IF(F3="",0,TIME(QUOTIENT(F3,100),RIGHT(F3,2),0)),"ERRO")</f>
        <v>0</v>
      </c>
      <c r="AD4" s="23">
        <f>IFERROR(IF(G3="",0,TIME(QUOTIENT(G3,100),RIGHT(G3,2),0)),"ERRO")</f>
        <v>0</v>
      </c>
      <c r="AE4" s="23">
        <f>IFERROR(IF(H3="",0,TIME(QUOTIENT(H3,100),RIGHT(H3,2),0)),"ERRO")</f>
        <v>0</v>
      </c>
      <c r="AF4" s="23">
        <f>IFERROR(IF(I3="",0,TIME(QUOTIENT(I3,100),RIGHT(I3,2),0)),"ERRO")</f>
        <v>0</v>
      </c>
    </row>
    <row r="5" spans="2:49" ht="18" customHeight="1" x14ac:dyDescent="0.3">
      <c r="E5" s="89" t="s">
        <v>57</v>
      </c>
      <c r="F5" s="86"/>
      <c r="G5" s="81"/>
      <c r="H5" s="81"/>
      <c r="I5" s="82"/>
      <c r="U5" s="2"/>
      <c r="AB5" t="s">
        <v>56</v>
      </c>
      <c r="AC5" s="23">
        <f t="shared" ref="AC5:AC10" si="0">IFERROR(IF(F4="",0,TIME(QUOTIENT(F4,100),RIGHT(F4,2),0)),"ERRO")</f>
        <v>0</v>
      </c>
      <c r="AD5" s="23">
        <f t="shared" ref="AD5:AD10" si="1">IFERROR(IF(G4="",0,TIME(QUOTIENT(G4,100),RIGHT(G4,2),0)),"ERRO")</f>
        <v>0</v>
      </c>
      <c r="AE5" s="23">
        <f t="shared" ref="AE5:AE10" si="2">IFERROR(IF(H4="",0,TIME(QUOTIENT(H4,100),RIGHT(H4,2),0)),"ERRO")</f>
        <v>0</v>
      </c>
      <c r="AF5" s="23">
        <f t="shared" ref="AF5:AF10" si="3">IFERROR(IF(I4="",0,TIME(QUOTIENT(I4,100),RIGHT(I4,2),0)),"ERRO")</f>
        <v>0</v>
      </c>
    </row>
    <row r="6" spans="2:49" ht="18" customHeight="1" x14ac:dyDescent="0.3">
      <c r="E6" s="89" t="s">
        <v>58</v>
      </c>
      <c r="F6" s="86"/>
      <c r="G6" s="81"/>
      <c r="H6" s="81"/>
      <c r="I6" s="82"/>
      <c r="R6" s="2"/>
      <c r="S6" s="2"/>
      <c r="AB6" t="s">
        <v>57</v>
      </c>
      <c r="AC6" s="23">
        <f t="shared" si="0"/>
        <v>0</v>
      </c>
      <c r="AD6" s="23">
        <f t="shared" si="1"/>
        <v>0</v>
      </c>
      <c r="AE6" s="23">
        <f t="shared" si="2"/>
        <v>0</v>
      </c>
      <c r="AF6" s="23">
        <f t="shared" si="3"/>
        <v>0</v>
      </c>
    </row>
    <row r="7" spans="2:49" ht="18" customHeight="1" x14ac:dyDescent="0.3">
      <c r="E7" s="89" t="s">
        <v>59</v>
      </c>
      <c r="F7" s="86"/>
      <c r="G7" s="81"/>
      <c r="H7" s="81"/>
      <c r="I7" s="82"/>
      <c r="U7" s="2"/>
      <c r="AB7" t="s">
        <v>58</v>
      </c>
      <c r="AC7" s="23">
        <f t="shared" si="0"/>
        <v>0</v>
      </c>
      <c r="AD7" s="23">
        <f t="shared" si="1"/>
        <v>0</v>
      </c>
      <c r="AE7" s="23">
        <f t="shared" si="2"/>
        <v>0</v>
      </c>
      <c r="AF7" s="23">
        <f t="shared" si="3"/>
        <v>0</v>
      </c>
    </row>
    <row r="8" spans="2:49" ht="18" customHeight="1" x14ac:dyDescent="0.3">
      <c r="E8" s="89" t="s">
        <v>60</v>
      </c>
      <c r="F8" s="86"/>
      <c r="G8" s="81"/>
      <c r="H8" s="81"/>
      <c r="I8" s="82"/>
      <c r="R8" s="2"/>
      <c r="U8" s="2"/>
      <c r="AB8" t="s">
        <v>59</v>
      </c>
      <c r="AC8" s="23">
        <f t="shared" si="0"/>
        <v>0</v>
      </c>
      <c r="AD8" s="23">
        <f t="shared" si="1"/>
        <v>0</v>
      </c>
      <c r="AE8" s="23">
        <f t="shared" si="2"/>
        <v>0</v>
      </c>
      <c r="AF8" s="23">
        <f t="shared" si="3"/>
        <v>0</v>
      </c>
      <c r="AJ8" s="20"/>
      <c r="AK8" s="20"/>
      <c r="AW8" s="71"/>
    </row>
    <row r="9" spans="2:49" ht="18" customHeight="1" thickBot="1" x14ac:dyDescent="0.35">
      <c r="E9" s="90" t="s">
        <v>61</v>
      </c>
      <c r="F9" s="87"/>
      <c r="G9" s="83"/>
      <c r="H9" s="83"/>
      <c r="I9" s="84"/>
      <c r="R9" s="2"/>
      <c r="U9" s="2"/>
      <c r="AB9" t="s">
        <v>60</v>
      </c>
      <c r="AC9" s="23">
        <f t="shared" si="0"/>
        <v>0</v>
      </c>
      <c r="AD9" s="23">
        <f t="shared" si="1"/>
        <v>0</v>
      </c>
      <c r="AE9" s="23">
        <f t="shared" si="2"/>
        <v>0</v>
      </c>
      <c r="AF9" s="23">
        <f t="shared" si="3"/>
        <v>0</v>
      </c>
      <c r="AJ9" s="20"/>
    </row>
    <row r="10" spans="2:49" ht="18" customHeight="1" thickBot="1" x14ac:dyDescent="0.35">
      <c r="L10" s="102" t="s">
        <v>6</v>
      </c>
      <c r="M10" s="104"/>
      <c r="N10" s="103"/>
      <c r="O10" s="75">
        <v>0</v>
      </c>
      <c r="P10" s="76">
        <v>0</v>
      </c>
      <c r="R10" s="2"/>
      <c r="U10" s="2"/>
      <c r="Z10" s="2"/>
      <c r="AA10" s="2"/>
      <c r="AB10" t="s">
        <v>61</v>
      </c>
      <c r="AC10" s="23">
        <f t="shared" si="0"/>
        <v>0</v>
      </c>
      <c r="AD10" s="23">
        <f t="shared" si="1"/>
        <v>0</v>
      </c>
      <c r="AE10" s="23">
        <f t="shared" si="2"/>
        <v>0</v>
      </c>
      <c r="AF10" s="23">
        <f t="shared" si="3"/>
        <v>0</v>
      </c>
      <c r="AJ10" s="20"/>
    </row>
    <row r="11" spans="2:49" ht="18.75" customHeight="1" thickBot="1" x14ac:dyDescent="0.35">
      <c r="B11" s="67"/>
      <c r="C11" s="102" t="s">
        <v>30</v>
      </c>
      <c r="D11" s="103"/>
      <c r="E11" s="66">
        <v>44927</v>
      </c>
      <c r="F11" s="110" t="s">
        <v>21</v>
      </c>
      <c r="G11" s="111"/>
      <c r="H11" s="19" t="s">
        <v>22</v>
      </c>
      <c r="T11" s="1"/>
    </row>
    <row r="12" spans="2:49" ht="15.75" customHeight="1" x14ac:dyDescent="0.3">
      <c r="C12" s="91" t="s">
        <v>7</v>
      </c>
      <c r="D12" s="91" t="s">
        <v>8</v>
      </c>
      <c r="E12" s="112" t="s">
        <v>9</v>
      </c>
      <c r="F12" s="115" t="s">
        <v>10</v>
      </c>
      <c r="G12" s="116"/>
      <c r="H12" s="116"/>
      <c r="I12" s="117"/>
      <c r="J12" s="94" t="s">
        <v>11</v>
      </c>
      <c r="K12" s="94" t="s">
        <v>12</v>
      </c>
      <c r="L12" s="91" t="s">
        <v>13</v>
      </c>
      <c r="M12" s="91" t="s">
        <v>35</v>
      </c>
      <c r="N12" s="107" t="s">
        <v>46</v>
      </c>
      <c r="O12" s="107" t="str">
        <f>IFERROR(IF($H$11="J 8:48","EXTRAS ATÉ 1:12H","EXTRAS ATÉ 2H"),"ERRO")</f>
        <v>EXTRAS ATÉ 2H</v>
      </c>
      <c r="P12" s="107" t="str">
        <f>IFERROR(IF($H$11="J 8:48","EXTRAS APÓS 1:12H","EXTRAS APÓS 2H"),"ERRO")</f>
        <v>EXTRAS APÓS 2H</v>
      </c>
      <c r="Q12" s="94" t="s">
        <v>23</v>
      </c>
      <c r="R12" s="94" t="s">
        <v>48</v>
      </c>
      <c r="S12" s="97" t="s">
        <v>47</v>
      </c>
      <c r="T12" s="97" t="s">
        <v>28</v>
      </c>
      <c r="U12" s="97" t="s">
        <v>29</v>
      </c>
      <c r="V12" s="94" t="s">
        <v>49</v>
      </c>
      <c r="W12" s="91" t="s">
        <v>14</v>
      </c>
      <c r="X12" s="91" t="s">
        <v>15</v>
      </c>
      <c r="Y12" s="94" t="s">
        <v>20</v>
      </c>
      <c r="AI12" s="22"/>
      <c r="AJ12" s="22"/>
    </row>
    <row r="13" spans="2:49" ht="19.5" customHeight="1" thickBot="1" x14ac:dyDescent="0.35">
      <c r="C13" s="92"/>
      <c r="D13" s="92"/>
      <c r="E13" s="113"/>
      <c r="F13" s="118"/>
      <c r="G13" s="119"/>
      <c r="H13" s="119"/>
      <c r="I13" s="120"/>
      <c r="J13" s="95"/>
      <c r="K13" s="95"/>
      <c r="L13" s="92"/>
      <c r="M13" s="92"/>
      <c r="N13" s="108"/>
      <c r="O13" s="108"/>
      <c r="P13" s="108"/>
      <c r="Q13" s="95"/>
      <c r="R13" s="95"/>
      <c r="S13" s="98"/>
      <c r="T13" s="98"/>
      <c r="U13" s="98"/>
      <c r="V13" s="95"/>
      <c r="W13" s="92"/>
      <c r="X13" s="93"/>
      <c r="Y13" s="95"/>
      <c r="AI13" s="1"/>
    </row>
    <row r="14" spans="2:49" ht="15" thickBot="1" x14ac:dyDescent="0.35">
      <c r="B14" s="1"/>
      <c r="C14" s="93"/>
      <c r="D14" s="93"/>
      <c r="E14" s="114"/>
      <c r="F14" s="3" t="s">
        <v>16</v>
      </c>
      <c r="G14" s="3" t="s">
        <v>17</v>
      </c>
      <c r="H14" s="3" t="s">
        <v>18</v>
      </c>
      <c r="I14" s="3" t="s">
        <v>19</v>
      </c>
      <c r="J14" s="96"/>
      <c r="K14" s="96"/>
      <c r="L14" s="93"/>
      <c r="M14" s="93"/>
      <c r="N14" s="109"/>
      <c r="O14" s="109"/>
      <c r="P14" s="109"/>
      <c r="Q14" s="96"/>
      <c r="R14" s="96"/>
      <c r="S14" s="99"/>
      <c r="T14" s="99"/>
      <c r="U14" s="99"/>
      <c r="V14" s="96"/>
      <c r="W14" s="93"/>
      <c r="X14" s="21" t="s">
        <v>14</v>
      </c>
      <c r="Y14" s="96"/>
      <c r="AC14" t="s">
        <v>16</v>
      </c>
      <c r="AD14" s="1" t="s">
        <v>17</v>
      </c>
      <c r="AE14" s="4" t="s">
        <v>45</v>
      </c>
      <c r="AF14" s="4" t="s">
        <v>44</v>
      </c>
    </row>
    <row r="15" spans="2:49" ht="15" thickBot="1" x14ac:dyDescent="0.35">
      <c r="B15" s="2"/>
      <c r="C15" s="5">
        <v>1</v>
      </c>
      <c r="D15" s="6" t="str">
        <f t="shared" ref="D15:D45" si="4">IFERROR(IF(AH15="","",IF(AH15=1,"DOM",IF(AH15=2,"SEG",IF(AH15=3,"TER",IF(AH15=4,"QUA",IF(AH15=5,"QUI",IF(AH15=6,"SEX",IF(AH15=7,"SAB")))))))),"ERRO")</f>
        <v>DOM</v>
      </c>
      <c r="E15" s="16"/>
      <c r="F15" s="30"/>
      <c r="G15" s="31"/>
      <c r="H15" s="31"/>
      <c r="I15" s="32"/>
      <c r="J15" s="49" t="str">
        <f>IFERROR(IF(E15&lt;&gt;"fol",IF(AND(AD15&gt;=AC15,AF15&gt;=AE15,F15&lt;&gt;"",G15&lt;&gt;"",H15&lt;&gt;"",I15&lt;&gt;""),(AD15-AC15)+(AF15-AE15),""),""),"ERRO")</f>
        <v/>
      </c>
      <c r="K15" s="50" cm="1">
        <f t="array" ref="K15">IFERROR(Jornada(D15,$H$11),0)</f>
        <v>0.33333333333333331</v>
      </c>
      <c r="L15" s="56" t="str">
        <f>IFERROR(IF(E15&lt;&gt;"fol",IF(AND(AE15&gt;=AD15,AE15&lt;&gt;"",AD15&lt;&gt;"",F15&lt;&gt;"",G15&lt;&gt;"",H15&lt;&gt;"",I15&lt;&gt;""),AE15-AD15,""),""),"ERRO")</f>
        <v/>
      </c>
      <c r="M15" s="50" t="str" cm="1">
        <f t="array" ref="M15">IFERROR(IF(AND(F15&lt;&gt;"",G15&lt;&gt;"",H15&lt;&gt;"",I15&lt;&gt;""),Atraso(AC15:AF15,$AB$4:$AF$10,D15),""),"ERRO")</f>
        <v/>
      </c>
      <c r="N15" s="56" cm="1">
        <f t="array" ref="N15">IFERROR(IF(E15&lt;&gt;"fol",IF(AND(F15&lt;&gt;"",G15&lt;&gt;"",H15&lt;&gt;"",I15&lt;&gt;""),HorasExtras(AC15:AF15,$AB$4:$AF$10,D15),0),0),0)</f>
        <v>0</v>
      </c>
      <c r="O15" s="51">
        <f>IFERROR(IF($H$11="J 8:48",IF(N15&lt;((1/24)+(12/(24*60))),N15,((1/24)+(12/(24*60)))),IF(N15&lt;2/24,N15,2/24)),"ERRO")</f>
        <v>0</v>
      </c>
      <c r="P15" s="52">
        <f>IFERROR(IF($H$11="J 8:48",IF(N15&gt;((1/24)+(12/(24*60))),(N15-((1/24)+(12/(24*60)))),0),IF(N15&gt;2/24,N15-2/24,0)),"ERRO")</f>
        <v>0</v>
      </c>
      <c r="Q15" s="53">
        <f>IFERROR((R15)*(60/52.5),"ERRO")</f>
        <v>0</v>
      </c>
      <c r="R15" s="57" cm="1">
        <f t="array" ref="R15">adicionalNoturnoCompleto(AC15,AD15,AE15,AF15)</f>
        <v>0</v>
      </c>
      <c r="S15" s="72">
        <f>IFERROR(IF(Q15&gt;8/24,Q15-8/24,0),"ERRO")</f>
        <v>0</v>
      </c>
      <c r="T15" s="51">
        <f>IFERROR(IF(S15&lt;2/24,S15,2/24),"ERRO")</f>
        <v>0</v>
      </c>
      <c r="U15" s="52">
        <f>IFERROR(IF(S15&gt;2/24,S15-2/24,0),"ERRO")</f>
        <v>0</v>
      </c>
      <c r="V15" s="49">
        <f>IFERROR(M15+((AN17/24)+(AO17/(24*60))+(AP17/(24*3600))),0)</f>
        <v>0</v>
      </c>
      <c r="W15" s="54">
        <f t="shared" ref="W15:W42" si="5">IF(OR(E15="foj",AND(F15&lt;&gt;"",G15&lt;&gt;"",H15&lt;&gt;"",I15&lt;&gt;"")),IF(AA15&gt;V15,(HOUR(AA15)+MINUTE(AA15)/60)-(HOUR(V15)+MINUTE(V15)/60),(-1)*(HOUR(AA15)+MINUTE(AA15)/60)-(HOUR(V15)+MINUTE(V15)/60)),0)</f>
        <v>0</v>
      </c>
      <c r="X15" s="54">
        <f>W15+(AN16+AO16/60+AP16/3600)-(AN17+AO17/60+AP17/3600)</f>
        <v>0</v>
      </c>
      <c r="Y15" s="52">
        <f>IFERROR(N15+((AN16/24)+(AO16/(24*60))+(AP16/(24*3600))),0)</f>
        <v>0</v>
      </c>
      <c r="AC15" s="23">
        <f t="shared" ref="AC15:AC45" si="6">IFERROR(IF(F15="",0,TIME(QUOTIENT(F15,100),RIGHT(F15,2),0)),"ERRO")</f>
        <v>0</v>
      </c>
      <c r="AD15" s="23">
        <f t="shared" ref="AD15:AD45" si="7">IFERROR(IF(G15="",0,IF(TIME(QUOTIENT(G15,100),RIGHT(G15,2),0)&lt;AC15,TIME(QUOTIENT(G15,100),RIGHT(G15,2),0)+1,TIME(QUOTIENT(G15,100),RIGHT(G15,2),0))),"ERRO")</f>
        <v>0</v>
      </c>
      <c r="AE15" s="23">
        <f t="shared" ref="AE15:AE45" si="8">IFERROR(IF(H15="",0,IF(TIME(QUOTIENT(H15,100),RIGHT(H15,2),0)&lt;AD15,TIME(QUOTIENT(H15,100),RIGHT(H15,2),0)+1,TIME(QUOTIENT(H15,100),RIGHT(H15,2),0))),"ERRO")</f>
        <v>0</v>
      </c>
      <c r="AF15" s="23">
        <f t="shared" ref="AF15:AF45" si="9">IFERROR(IF(I15="",0,IF(TIME(QUOTIENT(I15,100),RIGHT(I15,2),0)&lt;AE15,TIME(QUOTIENT(I15,100),RIGHT(I15,2),0)+1,TIME(QUOTIENT(I15,100),RIGHT(I15,2),0))),"ERRO")</f>
        <v>0</v>
      </c>
      <c r="AG15" s="11">
        <f t="shared" ref="AG15:AG45" si="10">IFERROR(IF(C15="","",IF(DAY($E$11)=0,"",$E$11+C15-1)),0)</f>
        <v>44927</v>
      </c>
      <c r="AH15" s="12">
        <f t="shared" ref="AH15:AH45" si="11">IFERROR(IF(AG15="","",IF(DAY($AG$15)=0,"",WEEKDAY(AG15,1))),1)</f>
        <v>1</v>
      </c>
      <c r="AJ15" s="39" t="s">
        <v>34</v>
      </c>
      <c r="AK15" s="15" t="s">
        <v>24</v>
      </c>
      <c r="AN15" t="s">
        <v>31</v>
      </c>
      <c r="AO15" t="s">
        <v>32</v>
      </c>
      <c r="AP15" t="s">
        <v>33</v>
      </c>
    </row>
    <row r="16" spans="2:49" x14ac:dyDescent="0.3">
      <c r="B16" s="2"/>
      <c r="C16" s="7">
        <v>2</v>
      </c>
      <c r="D16" s="8" t="str">
        <f t="shared" si="4"/>
        <v>SEG</v>
      </c>
      <c r="E16" s="17"/>
      <c r="F16" s="33"/>
      <c r="G16" s="34"/>
      <c r="H16" s="34"/>
      <c r="I16" s="35"/>
      <c r="J16" s="55" t="str">
        <f t="shared" ref="J16:J45" si="12">IFERROR(IF(E16&lt;&gt;"fol",IF(AND(AD16&gt;=AC16,AF16&gt;=AE16,F16&lt;&gt;"",G16&lt;&gt;"",H16&lt;&gt;"",I16&lt;&gt;""),(AD16-AC16)+(AF16-AE16),""),""),"ERRO")</f>
        <v/>
      </c>
      <c r="K16" s="56" cm="1">
        <f t="array" ref="K16">IFERROR(Jornada(D16,$H$11),0)</f>
        <v>0.33333333333333331</v>
      </c>
      <c r="L16" s="56" t="str">
        <f t="shared" ref="L16:L45" si="13">IFERROR(IF(E16&lt;&gt;"fol",IF(AND(AE16&gt;=AD16,AE16&lt;&gt;"",AD16&lt;&gt;"",F16&lt;&gt;"",G16&lt;&gt;"",H16&lt;&gt;"",I16&lt;&gt;""),AE16-AD16,""),""),"ERRO")</f>
        <v/>
      </c>
      <c r="M16" s="56" t="str" cm="1">
        <f t="array" ref="M16">IFERROR(IF(AND(F16&lt;&gt;"",G16&lt;&gt;"",H16&lt;&gt;"",I16&lt;&gt;""),Atraso(AC16:AF16,$AB$4:$AF$10,D16),""),"ERRO")</f>
        <v/>
      </c>
      <c r="N16" s="56" cm="1">
        <f t="array" ref="N16">IFERROR(IF(E16&lt;&gt;"fol",IF(AND(F16&lt;&gt;"",G16&lt;&gt;"",H16&lt;&gt;"",I16&lt;&gt;""),HorasExtras(AC16:AF16,$AB$4:$AF$10,D16),0),0),0)</f>
        <v>0</v>
      </c>
      <c r="O16" s="57">
        <f t="shared" ref="O16:O45" si="14">IFERROR(IF($H$11="J 8:48",IF(N16&lt;((1/24)+(12/(24*60))),N16,((1/24)+(12/(24*60)))),IF(N16&lt;2/24,N16,2/24)),"ERRO")</f>
        <v>0</v>
      </c>
      <c r="P16" s="58">
        <f t="shared" ref="P16:P45" si="15">IFERROR(IF($H$11="J 8:48",IF(N16&gt;((1/24)+(12/(24*60))),(N16-((1/24)+(12/(24*60)))),0),IF(N16&gt;2/24,N16-2/24,0)),"ERRO")</f>
        <v>0</v>
      </c>
      <c r="Q16" s="59">
        <f t="shared" ref="Q16:Q42" si="16">IFERROR((R16)*(60/52.5),"ERRO")</f>
        <v>0</v>
      </c>
      <c r="R16" s="57" cm="1">
        <f t="array" ref="R16">adicionalNoturnoCompleto(AC16,AD16,AE16,AF16)</f>
        <v>0</v>
      </c>
      <c r="S16" s="57">
        <f t="shared" ref="S16:S45" si="17">IFERROR(IF(Q16&gt;8/24,Q16-8/24,0),"ERRO")</f>
        <v>0</v>
      </c>
      <c r="T16" s="57">
        <f t="shared" ref="T16:T45" si="18">IFERROR(IF(S16&lt;2/24,S16,2/24),"ERRO")</f>
        <v>0</v>
      </c>
      <c r="U16" s="58">
        <f t="shared" ref="U16:U45" si="19">IFERROR(IF(S16&gt;2/24,S16-2/24,0),"ERRO")</f>
        <v>0</v>
      </c>
      <c r="V16" s="55">
        <f>IFERROR(M16+V15,0)</f>
        <v>0</v>
      </c>
      <c r="W16" s="60">
        <f t="shared" si="5"/>
        <v>0</v>
      </c>
      <c r="X16" s="60">
        <f t="shared" ref="X16:X42" si="20">X15+W16</f>
        <v>0</v>
      </c>
      <c r="Y16" s="58">
        <f>IFERROR(N16+Y15,0)</f>
        <v>0</v>
      </c>
      <c r="AC16" s="23">
        <f t="shared" si="6"/>
        <v>0</v>
      </c>
      <c r="AD16" s="23">
        <f t="shared" si="7"/>
        <v>0</v>
      </c>
      <c r="AE16" s="23">
        <f t="shared" si="8"/>
        <v>0</v>
      </c>
      <c r="AF16" s="23">
        <f t="shared" si="9"/>
        <v>0</v>
      </c>
      <c r="AG16" s="11">
        <f t="shared" si="10"/>
        <v>44928</v>
      </c>
      <c r="AH16" s="12">
        <f t="shared" si="11"/>
        <v>2</v>
      </c>
      <c r="AJ16" s="39" t="s">
        <v>52</v>
      </c>
      <c r="AK16" s="12" t="s">
        <v>25</v>
      </c>
      <c r="AN16" s="24">
        <f>IFERROR(HOUR($O$10)+DAY($O$10)*24,0)</f>
        <v>0</v>
      </c>
      <c r="AO16" s="25">
        <f>IFERROR(MINUTE($O$10),0)</f>
        <v>0</v>
      </c>
      <c r="AP16" s="26">
        <f>IFERROR(SECOND($O$10),0)</f>
        <v>0</v>
      </c>
    </row>
    <row r="17" spans="2:42" ht="15" thickBot="1" x14ac:dyDescent="0.35">
      <c r="B17" s="2"/>
      <c r="C17" s="7">
        <v>3</v>
      </c>
      <c r="D17" s="8" t="str">
        <f t="shared" si="4"/>
        <v>TER</v>
      </c>
      <c r="E17" s="17"/>
      <c r="F17" s="33"/>
      <c r="G17" s="34"/>
      <c r="H17" s="34"/>
      <c r="I17" s="35"/>
      <c r="J17" s="55" t="str">
        <f t="shared" si="12"/>
        <v/>
      </c>
      <c r="K17" s="56" cm="1">
        <f t="array" ref="K17">IFERROR(Jornada(D17,$H$11),0)</f>
        <v>0.33333333333333331</v>
      </c>
      <c r="L17" s="56" t="str">
        <f t="shared" si="13"/>
        <v/>
      </c>
      <c r="M17" s="56" t="str" cm="1">
        <f t="array" ref="M17">IFERROR(IF(AND(F17&lt;&gt;"",G17&lt;&gt;"",H17&lt;&gt;"",I17&lt;&gt;""),Atraso(AC17:AF17,$AB$4:$AF$10,D17),""),"ERRO")</f>
        <v/>
      </c>
      <c r="N17" s="56" cm="1">
        <f t="array" ref="N17">IFERROR(IF(E17&lt;&gt;"fol",IF(AND(F17&lt;&gt;"",G17&lt;&gt;"",H17&lt;&gt;"",I17&lt;&gt;""),HorasExtras(AC17:AF17,$AB$4:$AF$10,D17),0),0),0)</f>
        <v>0</v>
      </c>
      <c r="O17" s="57">
        <f t="shared" si="14"/>
        <v>0</v>
      </c>
      <c r="P17" s="58">
        <f t="shared" si="15"/>
        <v>0</v>
      </c>
      <c r="Q17" s="59">
        <f t="shared" si="16"/>
        <v>0</v>
      </c>
      <c r="R17" s="57" cm="1">
        <f t="array" ref="R17">adicionalNoturnoCompleto(AC17,AD17,AE17,AF17)</f>
        <v>0</v>
      </c>
      <c r="S17" s="57">
        <f t="shared" si="17"/>
        <v>0</v>
      </c>
      <c r="T17" s="57">
        <f t="shared" si="18"/>
        <v>0</v>
      </c>
      <c r="U17" s="58">
        <f t="shared" si="19"/>
        <v>0</v>
      </c>
      <c r="V17" s="55">
        <f t="shared" ref="V17:V45" si="21">IFERROR(M17+V16,0)</f>
        <v>0</v>
      </c>
      <c r="W17" s="60">
        <f t="shared" si="5"/>
        <v>0</v>
      </c>
      <c r="X17" s="60">
        <f t="shared" si="20"/>
        <v>0</v>
      </c>
      <c r="Y17" s="58">
        <f t="shared" ref="Y17:Y45" si="22">IFERROR(N17+Y16,0)</f>
        <v>0</v>
      </c>
      <c r="AC17" s="23">
        <f t="shared" si="6"/>
        <v>0</v>
      </c>
      <c r="AD17" s="23">
        <f t="shared" si="7"/>
        <v>0</v>
      </c>
      <c r="AE17" s="23">
        <f t="shared" si="8"/>
        <v>0</v>
      </c>
      <c r="AF17" s="23">
        <f t="shared" si="9"/>
        <v>0</v>
      </c>
      <c r="AG17" s="11">
        <f t="shared" si="10"/>
        <v>44929</v>
      </c>
      <c r="AH17" s="12">
        <f t="shared" si="11"/>
        <v>3</v>
      </c>
      <c r="AJ17" s="39" t="s">
        <v>53</v>
      </c>
      <c r="AK17" s="12" t="s">
        <v>27</v>
      </c>
      <c r="AN17" s="27">
        <f>IFERROR(HOUR($P$10)+(24*DAY($P$10)),0)</f>
        <v>0</v>
      </c>
      <c r="AO17" s="28">
        <f>IFERROR(MINUTE($P$10),0)</f>
        <v>0</v>
      </c>
      <c r="AP17" s="29">
        <f>IFERROR(SECOND($P$10),0)</f>
        <v>0</v>
      </c>
    </row>
    <row r="18" spans="2:42" x14ac:dyDescent="0.3">
      <c r="B18" s="2"/>
      <c r="C18" s="7">
        <v>4</v>
      </c>
      <c r="D18" s="8" t="str">
        <f t="shared" si="4"/>
        <v>QUA</v>
      </c>
      <c r="E18" s="17"/>
      <c r="F18" s="33"/>
      <c r="G18" s="34"/>
      <c r="H18" s="34"/>
      <c r="I18" s="35"/>
      <c r="J18" s="55" t="str">
        <f t="shared" si="12"/>
        <v/>
      </c>
      <c r="K18" s="56" cm="1">
        <f t="array" ref="K18">IFERROR(Jornada(D18,$H$11),0)</f>
        <v>0.33333333333333331</v>
      </c>
      <c r="L18" s="56" t="str">
        <f t="shared" si="13"/>
        <v/>
      </c>
      <c r="M18" s="56" t="str" cm="1">
        <f t="array" ref="M18">IFERROR(IF(AND(F18&lt;&gt;"",G18&lt;&gt;"",H18&lt;&gt;"",I18&lt;&gt;""),Atraso(AC18:AF18,$AB$4:$AF$10,D18),""),"ERRO")</f>
        <v/>
      </c>
      <c r="N18" s="56" cm="1">
        <f t="array" ref="N18">IFERROR(IF(E18&lt;&gt;"fol",IF(AND(F18&lt;&gt;"",G18&lt;&gt;"",H18&lt;&gt;"",I18&lt;&gt;""),HorasExtras(AC18:AF18,$AB$4:$AF$10,D18),0),0),0)</f>
        <v>0</v>
      </c>
      <c r="O18" s="57">
        <f t="shared" si="14"/>
        <v>0</v>
      </c>
      <c r="P18" s="58">
        <f t="shared" si="15"/>
        <v>0</v>
      </c>
      <c r="Q18" s="59">
        <f t="shared" si="16"/>
        <v>0</v>
      </c>
      <c r="R18" s="57" cm="1">
        <f t="array" ref="R18">adicionalNoturnoCompleto(AC18,AD18,AE18,AF18)</f>
        <v>0</v>
      </c>
      <c r="S18" s="57">
        <f t="shared" si="17"/>
        <v>0</v>
      </c>
      <c r="T18" s="57">
        <f t="shared" si="18"/>
        <v>0</v>
      </c>
      <c r="U18" s="58">
        <f t="shared" si="19"/>
        <v>0</v>
      </c>
      <c r="V18" s="55">
        <f t="shared" si="21"/>
        <v>0</v>
      </c>
      <c r="W18" s="60">
        <f t="shared" si="5"/>
        <v>0</v>
      </c>
      <c r="X18" s="60">
        <f t="shared" si="20"/>
        <v>0</v>
      </c>
      <c r="Y18" s="58">
        <f t="shared" si="22"/>
        <v>0</v>
      </c>
      <c r="AC18" s="23">
        <f t="shared" si="6"/>
        <v>0</v>
      </c>
      <c r="AD18" s="23">
        <f t="shared" si="7"/>
        <v>0</v>
      </c>
      <c r="AE18" s="23">
        <f t="shared" si="8"/>
        <v>0</v>
      </c>
      <c r="AF18" s="23">
        <f t="shared" si="9"/>
        <v>0</v>
      </c>
      <c r="AG18" s="11">
        <f t="shared" si="10"/>
        <v>44930</v>
      </c>
      <c r="AH18" s="12">
        <f t="shared" si="11"/>
        <v>4</v>
      </c>
      <c r="AJ18" s="39" t="s">
        <v>37</v>
      </c>
      <c r="AK18" s="12" t="s">
        <v>26</v>
      </c>
    </row>
    <row r="19" spans="2:42" ht="15" thickBot="1" x14ac:dyDescent="0.35">
      <c r="B19" s="2"/>
      <c r="C19" s="7">
        <v>5</v>
      </c>
      <c r="D19" s="8" t="str">
        <f t="shared" si="4"/>
        <v>QUI</v>
      </c>
      <c r="E19" s="17"/>
      <c r="F19" s="33"/>
      <c r="G19" s="34"/>
      <c r="H19" s="34"/>
      <c r="I19" s="35"/>
      <c r="J19" s="55" t="str">
        <f t="shared" si="12"/>
        <v/>
      </c>
      <c r="K19" s="56" cm="1">
        <f t="array" ref="K19">IFERROR(Jornada(D19,$H$11),0)</f>
        <v>0.33333333333333331</v>
      </c>
      <c r="L19" s="56" t="str">
        <f t="shared" si="13"/>
        <v/>
      </c>
      <c r="M19" s="56" t="str" cm="1">
        <f t="array" ref="M19">IFERROR(IF(AND(F19&lt;&gt;"",G19&lt;&gt;"",H19&lt;&gt;"",I19&lt;&gt;""),Atraso(AC19:AF19,$AB$4:$AF$10,D19),""),"ERRO")</f>
        <v/>
      </c>
      <c r="N19" s="56" cm="1">
        <f t="array" ref="N19">IFERROR(IF(E19&lt;&gt;"fol",IF(AND(F19&lt;&gt;"",G19&lt;&gt;"",H19&lt;&gt;"",I19&lt;&gt;""),HorasExtras(AC19:AF19,$AB$4:$AF$10,D19),0),0),0)</f>
        <v>0</v>
      </c>
      <c r="O19" s="57">
        <f t="shared" si="14"/>
        <v>0</v>
      </c>
      <c r="P19" s="58">
        <f t="shared" si="15"/>
        <v>0</v>
      </c>
      <c r="Q19" s="59">
        <f t="shared" si="16"/>
        <v>0</v>
      </c>
      <c r="R19" s="57" cm="1">
        <f t="array" ref="R19">adicionalNoturnoCompleto(AC19,AD19,AE19,AF19)</f>
        <v>0</v>
      </c>
      <c r="S19" s="57">
        <f t="shared" si="17"/>
        <v>0</v>
      </c>
      <c r="T19" s="57">
        <f t="shared" si="18"/>
        <v>0</v>
      </c>
      <c r="U19" s="58">
        <f t="shared" si="19"/>
        <v>0</v>
      </c>
      <c r="V19" s="55">
        <f t="shared" si="21"/>
        <v>0</v>
      </c>
      <c r="W19" s="60">
        <f t="shared" si="5"/>
        <v>0</v>
      </c>
      <c r="X19" s="60">
        <f t="shared" si="20"/>
        <v>0</v>
      </c>
      <c r="Y19" s="58">
        <f t="shared" si="22"/>
        <v>0</v>
      </c>
      <c r="AC19" s="23">
        <f t="shared" si="6"/>
        <v>0</v>
      </c>
      <c r="AD19" s="23">
        <f t="shared" si="7"/>
        <v>0</v>
      </c>
      <c r="AE19" s="23">
        <f t="shared" si="8"/>
        <v>0</v>
      </c>
      <c r="AF19" s="23">
        <f t="shared" si="9"/>
        <v>0</v>
      </c>
      <c r="AG19" s="11">
        <f t="shared" si="10"/>
        <v>44931</v>
      </c>
      <c r="AH19" s="12">
        <f t="shared" si="11"/>
        <v>5</v>
      </c>
      <c r="AJ19" s="39" t="s">
        <v>38</v>
      </c>
      <c r="AP19" t="s">
        <v>43</v>
      </c>
    </row>
    <row r="20" spans="2:42" ht="15" thickBot="1" x14ac:dyDescent="0.35">
      <c r="B20" s="2"/>
      <c r="C20" s="7">
        <v>6</v>
      </c>
      <c r="D20" s="8" t="str">
        <f t="shared" si="4"/>
        <v>SEX</v>
      </c>
      <c r="E20" s="17"/>
      <c r="F20" s="33"/>
      <c r="G20" s="34"/>
      <c r="H20" s="34"/>
      <c r="I20" s="35"/>
      <c r="J20" s="55" t="str">
        <f t="shared" si="12"/>
        <v/>
      </c>
      <c r="K20" s="56" cm="1">
        <f t="array" ref="K20">IFERROR(Jornada(D20,$H$11),0)</f>
        <v>0.33333333333333331</v>
      </c>
      <c r="L20" s="56" t="str">
        <f t="shared" si="13"/>
        <v/>
      </c>
      <c r="M20" s="56" t="str" cm="1">
        <f t="array" ref="M20">IFERROR(IF(AND(F20&lt;&gt;"",G20&lt;&gt;"",H20&lt;&gt;"",I20&lt;&gt;""),Atraso(AC20:AF20,$AB$4:$AF$10,D20),""),"ERRO")</f>
        <v/>
      </c>
      <c r="N20" s="56" cm="1">
        <f t="array" ref="N20">IFERROR(IF(E20&lt;&gt;"fol",IF(AND(F20&lt;&gt;"",G20&lt;&gt;"",H20&lt;&gt;"",I20&lt;&gt;""),HorasExtras(AC20:AF20,$AB$4:$AF$10,D20),0),0),0)</f>
        <v>0</v>
      </c>
      <c r="O20" s="57">
        <f t="shared" si="14"/>
        <v>0</v>
      </c>
      <c r="P20" s="58">
        <f t="shared" si="15"/>
        <v>0</v>
      </c>
      <c r="Q20" s="59">
        <f t="shared" si="16"/>
        <v>0</v>
      </c>
      <c r="R20" s="57" cm="1">
        <f t="array" ref="R20">adicionalNoturnoCompleto(AC20,AD20,AE20,AF20)</f>
        <v>0</v>
      </c>
      <c r="S20" s="57">
        <f t="shared" si="17"/>
        <v>0</v>
      </c>
      <c r="T20" s="57">
        <f t="shared" si="18"/>
        <v>0</v>
      </c>
      <c r="U20" s="58">
        <f t="shared" si="19"/>
        <v>0</v>
      </c>
      <c r="V20" s="55">
        <f t="shared" si="21"/>
        <v>0</v>
      </c>
      <c r="W20" s="60">
        <f t="shared" si="5"/>
        <v>0</v>
      </c>
      <c r="X20" s="60">
        <f t="shared" si="20"/>
        <v>0</v>
      </c>
      <c r="Y20" s="58">
        <f t="shared" si="22"/>
        <v>0</v>
      </c>
      <c r="AC20" s="23">
        <f t="shared" si="6"/>
        <v>0</v>
      </c>
      <c r="AD20" s="23">
        <f t="shared" si="7"/>
        <v>0</v>
      </c>
      <c r="AE20" s="23">
        <f t="shared" si="8"/>
        <v>0</v>
      </c>
      <c r="AF20" s="23">
        <f t="shared" si="9"/>
        <v>0</v>
      </c>
      <c r="AG20" s="11">
        <f t="shared" si="10"/>
        <v>44932</v>
      </c>
      <c r="AH20" s="12">
        <f t="shared" si="11"/>
        <v>6</v>
      </c>
      <c r="AJ20" s="40" t="s">
        <v>22</v>
      </c>
      <c r="AM20" s="69">
        <f>DAY($E$11)</f>
        <v>1</v>
      </c>
      <c r="AN20" s="68">
        <f>MONTH($E$11)</f>
        <v>1</v>
      </c>
      <c r="AO20" s="68">
        <f>YEAR($E$11)</f>
        <v>2023</v>
      </c>
      <c r="AP20" s="70" t="str">
        <f>IF(QUOTIENT(AO20,4)*4=AO20,IF(QUOTIENT(AO20,100)*100=AO20,IF(QUOTIENT(AO20,400)*400=AO20,"SIM","NÃO"),"SIM"),"NÃO")</f>
        <v>NÃO</v>
      </c>
    </row>
    <row r="21" spans="2:42" x14ac:dyDescent="0.3">
      <c r="B21" s="2"/>
      <c r="C21" s="7">
        <v>7</v>
      </c>
      <c r="D21" s="8" t="str">
        <f t="shared" si="4"/>
        <v>SAB</v>
      </c>
      <c r="E21" s="17"/>
      <c r="F21" s="33"/>
      <c r="G21" s="34"/>
      <c r="H21" s="34"/>
      <c r="I21" s="35"/>
      <c r="J21" s="55" t="str">
        <f t="shared" si="12"/>
        <v/>
      </c>
      <c r="K21" s="56" cm="1">
        <f t="array" ref="K21">IFERROR(Jornada(D21,$H$11),0)</f>
        <v>0.16666666666666666</v>
      </c>
      <c r="L21" s="56" t="str">
        <f t="shared" si="13"/>
        <v/>
      </c>
      <c r="M21" s="56" t="str" cm="1">
        <f t="array" ref="M21">IFERROR(IF(AND(F21&lt;&gt;"",G21&lt;&gt;"",H21&lt;&gt;"",I21&lt;&gt;""),Atraso(AC21:AF21,$AB$4:$AF$10,D21),""),"ERRO")</f>
        <v/>
      </c>
      <c r="N21" s="56" cm="1">
        <f t="array" ref="N21">IFERROR(IF(E21&lt;&gt;"fol",IF(AND(F21&lt;&gt;"",G21&lt;&gt;"",H21&lt;&gt;"",I21&lt;&gt;""),HorasExtras(AC21:AF21,$AB$4:$AF$10,D21),0),0),0)</f>
        <v>0</v>
      </c>
      <c r="O21" s="57">
        <f t="shared" si="14"/>
        <v>0</v>
      </c>
      <c r="P21" s="58">
        <f t="shared" si="15"/>
        <v>0</v>
      </c>
      <c r="Q21" s="59">
        <f t="shared" si="16"/>
        <v>0</v>
      </c>
      <c r="R21" s="57" cm="1">
        <f t="array" ref="R21">adicionalNoturnoCompleto(AC21,AD21,AE21,AF21)</f>
        <v>0</v>
      </c>
      <c r="S21" s="57">
        <f t="shared" si="17"/>
        <v>0</v>
      </c>
      <c r="T21" s="57">
        <f t="shared" si="18"/>
        <v>0</v>
      </c>
      <c r="U21" s="58">
        <f t="shared" si="19"/>
        <v>0</v>
      </c>
      <c r="V21" s="55">
        <f t="shared" si="21"/>
        <v>0</v>
      </c>
      <c r="W21" s="60">
        <f t="shared" si="5"/>
        <v>0</v>
      </c>
      <c r="X21" s="60">
        <f t="shared" si="20"/>
        <v>0</v>
      </c>
      <c r="Y21" s="58">
        <f t="shared" si="22"/>
        <v>0</v>
      </c>
      <c r="AC21" s="23">
        <f t="shared" si="6"/>
        <v>0</v>
      </c>
      <c r="AD21" s="23">
        <f t="shared" si="7"/>
        <v>0</v>
      </c>
      <c r="AE21" s="23">
        <f t="shared" si="8"/>
        <v>0</v>
      </c>
      <c r="AF21" s="23">
        <f t="shared" si="9"/>
        <v>0</v>
      </c>
      <c r="AG21" s="11">
        <f t="shared" si="10"/>
        <v>44933</v>
      </c>
      <c r="AH21" s="12">
        <f t="shared" si="11"/>
        <v>7</v>
      </c>
    </row>
    <row r="22" spans="2:42" x14ac:dyDescent="0.3">
      <c r="B22" s="2"/>
      <c r="C22" s="7">
        <v>8</v>
      </c>
      <c r="D22" s="8" t="str">
        <f t="shared" si="4"/>
        <v>DOM</v>
      </c>
      <c r="E22" s="17"/>
      <c r="F22" s="33"/>
      <c r="G22" s="34"/>
      <c r="H22" s="34"/>
      <c r="I22" s="35"/>
      <c r="J22" s="55" t="str">
        <f t="shared" si="12"/>
        <v/>
      </c>
      <c r="K22" s="56" cm="1">
        <f t="array" ref="K22">IFERROR(Jornada(D22,$H$11),0)</f>
        <v>0.33333333333333331</v>
      </c>
      <c r="L22" s="56" t="str">
        <f t="shared" si="13"/>
        <v/>
      </c>
      <c r="M22" s="56" t="str" cm="1">
        <f t="array" ref="M22">IFERROR(IF(AND(F22&lt;&gt;"",G22&lt;&gt;"",H22&lt;&gt;"",I22&lt;&gt;""),Atraso(AC22:AF22,$AB$4:$AF$10,D22),""),"ERRO")</f>
        <v/>
      </c>
      <c r="N22" s="56" cm="1">
        <f t="array" ref="N22">IFERROR(IF(E22&lt;&gt;"fol",IF(AND(F22&lt;&gt;"",G22&lt;&gt;"",H22&lt;&gt;"",I22&lt;&gt;""),HorasExtras(AC22:AF22,$AB$4:$AF$10,D22),0),0),0)</f>
        <v>0</v>
      </c>
      <c r="O22" s="57">
        <f t="shared" si="14"/>
        <v>0</v>
      </c>
      <c r="P22" s="58">
        <f t="shared" si="15"/>
        <v>0</v>
      </c>
      <c r="Q22" s="59">
        <f t="shared" si="16"/>
        <v>0</v>
      </c>
      <c r="R22" s="57" cm="1">
        <f t="array" ref="R22">adicionalNoturnoCompleto(AC22,AD22,AE22,AF22)</f>
        <v>0</v>
      </c>
      <c r="S22" s="57">
        <f t="shared" si="17"/>
        <v>0</v>
      </c>
      <c r="T22" s="57">
        <f t="shared" si="18"/>
        <v>0</v>
      </c>
      <c r="U22" s="58">
        <f t="shared" si="19"/>
        <v>0</v>
      </c>
      <c r="V22" s="55">
        <f t="shared" si="21"/>
        <v>0</v>
      </c>
      <c r="W22" s="60">
        <f t="shared" si="5"/>
        <v>0</v>
      </c>
      <c r="X22" s="60">
        <f t="shared" si="20"/>
        <v>0</v>
      </c>
      <c r="Y22" s="58">
        <f t="shared" si="22"/>
        <v>0</v>
      </c>
      <c r="AC22" s="23">
        <f t="shared" si="6"/>
        <v>0</v>
      </c>
      <c r="AD22" s="23">
        <f t="shared" si="7"/>
        <v>0</v>
      </c>
      <c r="AE22" s="23">
        <f t="shared" si="8"/>
        <v>0</v>
      </c>
      <c r="AF22" s="23">
        <f t="shared" si="9"/>
        <v>0</v>
      </c>
      <c r="AG22" s="11">
        <f t="shared" si="10"/>
        <v>44934</v>
      </c>
      <c r="AH22" s="12">
        <f t="shared" si="11"/>
        <v>1</v>
      </c>
      <c r="AK22" s="71"/>
    </row>
    <row r="23" spans="2:42" x14ac:dyDescent="0.3">
      <c r="C23" s="7">
        <v>9</v>
      </c>
      <c r="D23" s="8" t="str">
        <f t="shared" si="4"/>
        <v>SEG</v>
      </c>
      <c r="E23" s="17"/>
      <c r="F23" s="33"/>
      <c r="G23" s="34"/>
      <c r="H23" s="34"/>
      <c r="I23" s="35"/>
      <c r="J23" s="55" t="str">
        <f t="shared" si="12"/>
        <v/>
      </c>
      <c r="K23" s="56" cm="1">
        <f t="array" ref="K23">IFERROR(Jornada(D23,$H$11),0)</f>
        <v>0.33333333333333331</v>
      </c>
      <c r="L23" s="56" t="str">
        <f t="shared" si="13"/>
        <v/>
      </c>
      <c r="M23" s="56" t="str" cm="1">
        <f t="array" ref="M23">IFERROR(IF(AND(F23&lt;&gt;"",G23&lt;&gt;"",H23&lt;&gt;"",I23&lt;&gt;""),Atraso(AC23:AF23,$AB$4:$AF$10,D23),""),"ERRO")</f>
        <v/>
      </c>
      <c r="N23" s="56" cm="1">
        <f t="array" ref="N23">IFERROR(IF(E23&lt;&gt;"fol",IF(AND(F23&lt;&gt;"",G23&lt;&gt;"",H23&lt;&gt;"",I23&lt;&gt;""),HorasExtras(AC23:AF23,$AB$4:$AF$10,D23),0),0),0)</f>
        <v>0</v>
      </c>
      <c r="O23" s="57">
        <f t="shared" si="14"/>
        <v>0</v>
      </c>
      <c r="P23" s="58">
        <f t="shared" si="15"/>
        <v>0</v>
      </c>
      <c r="Q23" s="59">
        <f t="shared" si="16"/>
        <v>0</v>
      </c>
      <c r="R23" s="57" cm="1">
        <f t="array" ref="R23">adicionalNoturnoCompleto(AC23,AD23,AE23,AF23)</f>
        <v>0</v>
      </c>
      <c r="S23" s="57">
        <f t="shared" si="17"/>
        <v>0</v>
      </c>
      <c r="T23" s="57">
        <f t="shared" si="18"/>
        <v>0</v>
      </c>
      <c r="U23" s="58">
        <f t="shared" si="19"/>
        <v>0</v>
      </c>
      <c r="V23" s="55">
        <f t="shared" si="21"/>
        <v>0</v>
      </c>
      <c r="W23" s="60">
        <f t="shared" si="5"/>
        <v>0</v>
      </c>
      <c r="X23" s="60">
        <f t="shared" si="20"/>
        <v>0</v>
      </c>
      <c r="Y23" s="58">
        <f t="shared" si="22"/>
        <v>0</v>
      </c>
      <c r="AC23" s="23">
        <f t="shared" si="6"/>
        <v>0</v>
      </c>
      <c r="AD23" s="23">
        <f t="shared" si="7"/>
        <v>0</v>
      </c>
      <c r="AE23" s="23">
        <f t="shared" si="8"/>
        <v>0</v>
      </c>
      <c r="AF23" s="23">
        <f t="shared" si="9"/>
        <v>0</v>
      </c>
      <c r="AG23" s="11">
        <f t="shared" si="10"/>
        <v>44935</v>
      </c>
      <c r="AH23" s="12">
        <f t="shared" si="11"/>
        <v>2</v>
      </c>
      <c r="AJ23" s="71"/>
      <c r="AK23" s="71"/>
    </row>
    <row r="24" spans="2:42" x14ac:dyDescent="0.3">
      <c r="C24" s="7">
        <v>10</v>
      </c>
      <c r="D24" s="8" t="str">
        <f>IFERROR(IF(AH24="","",IF(AH24=1,"DOM",IF(AH24=2,"SEG",IF(AH24=3,"TER",IF(AH24=4,"QUA",IF(AH24=5,"QUI",IF(AH24=6,"SEX",IF(AH24=7,"SAB")))))))),"ERRO")</f>
        <v>TER</v>
      </c>
      <c r="E24" s="17"/>
      <c r="F24" s="33"/>
      <c r="G24" s="34"/>
      <c r="H24" s="34"/>
      <c r="I24" s="35"/>
      <c r="J24" s="55" t="str">
        <f t="shared" si="12"/>
        <v/>
      </c>
      <c r="K24" s="56" cm="1">
        <f t="array" ref="K24">IFERROR(Jornada(D24,$H$11),0)</f>
        <v>0.33333333333333331</v>
      </c>
      <c r="L24" s="56" t="str">
        <f t="shared" si="13"/>
        <v/>
      </c>
      <c r="M24" s="56" t="str" cm="1">
        <f t="array" ref="M24">IFERROR(IF(AND(F24&lt;&gt;"",G24&lt;&gt;"",H24&lt;&gt;"",I24&lt;&gt;""),Atraso(AC24:AF24,$AB$4:$AF$10,D24),""),"ERRO")</f>
        <v/>
      </c>
      <c r="N24" s="56" cm="1">
        <f t="array" ref="N24">IFERROR(IF(E24&lt;&gt;"fol",IF(AND(F24&lt;&gt;"",G24&lt;&gt;"",H24&lt;&gt;"",I24&lt;&gt;""),HorasExtras(AC24:AF24,$AB$4:$AF$10,D24),0),0),0)</f>
        <v>0</v>
      </c>
      <c r="O24" s="57">
        <f t="shared" si="14"/>
        <v>0</v>
      </c>
      <c r="P24" s="58">
        <f t="shared" si="15"/>
        <v>0</v>
      </c>
      <c r="Q24" s="59">
        <f t="shared" si="16"/>
        <v>0</v>
      </c>
      <c r="R24" s="57" cm="1">
        <f t="array" ref="R24">adicionalNoturnoCompleto(AC24,AD24,AE24,AF24)</f>
        <v>0</v>
      </c>
      <c r="S24" s="57">
        <f t="shared" si="17"/>
        <v>0</v>
      </c>
      <c r="T24" s="57">
        <f t="shared" si="18"/>
        <v>0</v>
      </c>
      <c r="U24" s="58">
        <f t="shared" si="19"/>
        <v>0</v>
      </c>
      <c r="V24" s="55">
        <f t="shared" si="21"/>
        <v>0</v>
      </c>
      <c r="W24" s="60">
        <f t="shared" si="5"/>
        <v>0</v>
      </c>
      <c r="X24" s="60">
        <f t="shared" si="20"/>
        <v>0</v>
      </c>
      <c r="Y24" s="58">
        <f t="shared" si="22"/>
        <v>0</v>
      </c>
      <c r="AC24" s="23">
        <f t="shared" si="6"/>
        <v>0</v>
      </c>
      <c r="AD24" s="23">
        <f t="shared" si="7"/>
        <v>0</v>
      </c>
      <c r="AE24" s="23">
        <f t="shared" si="8"/>
        <v>0</v>
      </c>
      <c r="AF24" s="23">
        <f t="shared" si="9"/>
        <v>0</v>
      </c>
      <c r="AG24" s="11">
        <f t="shared" si="10"/>
        <v>44936</v>
      </c>
      <c r="AH24" s="12">
        <f t="shared" si="11"/>
        <v>3</v>
      </c>
      <c r="AJ24" s="71"/>
      <c r="AK24" s="71"/>
    </row>
    <row r="25" spans="2:42" x14ac:dyDescent="0.3">
      <c r="C25" s="7">
        <v>11</v>
      </c>
      <c r="D25" s="8" t="str">
        <f t="shared" si="4"/>
        <v>QUA</v>
      </c>
      <c r="E25" s="17"/>
      <c r="F25" s="33"/>
      <c r="G25" s="34"/>
      <c r="H25" s="34"/>
      <c r="I25" s="35"/>
      <c r="J25" s="55" t="str">
        <f t="shared" si="12"/>
        <v/>
      </c>
      <c r="K25" s="56" cm="1">
        <f t="array" ref="K25">IFERROR(Jornada(D25,$H$11),0)</f>
        <v>0.33333333333333331</v>
      </c>
      <c r="L25" s="56" t="str">
        <f t="shared" si="13"/>
        <v/>
      </c>
      <c r="M25" s="56" t="str" cm="1">
        <f t="array" ref="M25">IFERROR(IF(AND(F25&lt;&gt;"",G25&lt;&gt;"",H25&lt;&gt;"",I25&lt;&gt;""),Atraso(AC25:AF25,$AB$4:$AF$10,D25),""),"ERRO")</f>
        <v/>
      </c>
      <c r="N25" s="56" cm="1">
        <f t="array" ref="N25">IFERROR(IF(E25&lt;&gt;"fol",IF(AND(F25&lt;&gt;"",G25&lt;&gt;"",H25&lt;&gt;"",I25&lt;&gt;""),HorasExtras(AC25:AF25,$AB$4:$AF$10,D25),0),0),0)</f>
        <v>0</v>
      </c>
      <c r="O25" s="57">
        <f t="shared" si="14"/>
        <v>0</v>
      </c>
      <c r="P25" s="58">
        <f t="shared" si="15"/>
        <v>0</v>
      </c>
      <c r="Q25" s="59">
        <f t="shared" si="16"/>
        <v>0</v>
      </c>
      <c r="R25" s="57" cm="1">
        <f t="array" ref="R25">adicionalNoturnoCompleto(AC25,AD25,AE25,AF25)</f>
        <v>0</v>
      </c>
      <c r="S25" s="57">
        <f t="shared" si="17"/>
        <v>0</v>
      </c>
      <c r="T25" s="57">
        <f t="shared" si="18"/>
        <v>0</v>
      </c>
      <c r="U25" s="58">
        <f t="shared" si="19"/>
        <v>0</v>
      </c>
      <c r="V25" s="55">
        <f t="shared" si="21"/>
        <v>0</v>
      </c>
      <c r="W25" s="60">
        <f t="shared" si="5"/>
        <v>0</v>
      </c>
      <c r="X25" s="60">
        <f t="shared" si="20"/>
        <v>0</v>
      </c>
      <c r="Y25" s="58">
        <f t="shared" si="22"/>
        <v>0</v>
      </c>
      <c r="AC25" s="23">
        <f t="shared" si="6"/>
        <v>0</v>
      </c>
      <c r="AD25" s="23">
        <f t="shared" si="7"/>
        <v>0</v>
      </c>
      <c r="AE25" s="23">
        <f t="shared" si="8"/>
        <v>0</v>
      </c>
      <c r="AF25" s="23">
        <f t="shared" si="9"/>
        <v>0</v>
      </c>
      <c r="AG25" s="11">
        <f t="shared" si="10"/>
        <v>44937</v>
      </c>
      <c r="AH25" s="12">
        <f t="shared" si="11"/>
        <v>4</v>
      </c>
      <c r="AJ25" s="71"/>
      <c r="AK25" s="71"/>
    </row>
    <row r="26" spans="2:42" x14ac:dyDescent="0.3">
      <c r="C26" s="7">
        <v>12</v>
      </c>
      <c r="D26" s="8" t="str">
        <f t="shared" si="4"/>
        <v>QUI</v>
      </c>
      <c r="E26" s="17"/>
      <c r="F26" s="33"/>
      <c r="G26" s="34"/>
      <c r="H26" s="34"/>
      <c r="I26" s="35"/>
      <c r="J26" s="55" t="str">
        <f t="shared" si="12"/>
        <v/>
      </c>
      <c r="K26" s="56" cm="1">
        <f t="array" ref="K26">IFERROR(Jornada(D26,$H$11),0)</f>
        <v>0.33333333333333331</v>
      </c>
      <c r="L26" s="56" t="str">
        <f t="shared" si="13"/>
        <v/>
      </c>
      <c r="M26" s="56" t="str" cm="1">
        <f t="array" ref="M26">IFERROR(IF(AND(F26&lt;&gt;"",G26&lt;&gt;"",H26&lt;&gt;"",I26&lt;&gt;""),Atraso(AC26:AF26,$AB$4:$AF$10,D26),""),"ERRO")</f>
        <v/>
      </c>
      <c r="N26" s="56" cm="1">
        <f t="array" ref="N26">IFERROR(IF(E26&lt;&gt;"fol",IF(AND(F26&lt;&gt;"",G26&lt;&gt;"",H26&lt;&gt;"",I26&lt;&gt;""),HorasExtras(AC26:AF26,$AB$4:$AF$10,D26),0),0),0)</f>
        <v>0</v>
      </c>
      <c r="O26" s="57">
        <f t="shared" si="14"/>
        <v>0</v>
      </c>
      <c r="P26" s="58">
        <f t="shared" si="15"/>
        <v>0</v>
      </c>
      <c r="Q26" s="59">
        <f t="shared" si="16"/>
        <v>0</v>
      </c>
      <c r="R26" s="57" cm="1">
        <f t="array" ref="R26">adicionalNoturnoCompleto(AC26,AD26,AE26,AF26)</f>
        <v>0</v>
      </c>
      <c r="S26" s="57">
        <f t="shared" si="17"/>
        <v>0</v>
      </c>
      <c r="T26" s="57">
        <f t="shared" si="18"/>
        <v>0</v>
      </c>
      <c r="U26" s="58">
        <f t="shared" si="19"/>
        <v>0</v>
      </c>
      <c r="V26" s="55">
        <f t="shared" si="21"/>
        <v>0</v>
      </c>
      <c r="W26" s="60">
        <f t="shared" si="5"/>
        <v>0</v>
      </c>
      <c r="X26" s="60">
        <f t="shared" si="20"/>
        <v>0</v>
      </c>
      <c r="Y26" s="58">
        <f t="shared" si="22"/>
        <v>0</v>
      </c>
      <c r="AC26" s="23">
        <f t="shared" si="6"/>
        <v>0</v>
      </c>
      <c r="AD26" s="23">
        <f t="shared" si="7"/>
        <v>0</v>
      </c>
      <c r="AE26" s="23">
        <f t="shared" si="8"/>
        <v>0</v>
      </c>
      <c r="AF26" s="23">
        <f t="shared" si="9"/>
        <v>0</v>
      </c>
      <c r="AG26" s="11">
        <f t="shared" si="10"/>
        <v>44938</v>
      </c>
      <c r="AH26" s="12">
        <f t="shared" si="11"/>
        <v>5</v>
      </c>
      <c r="AJ26" s="71"/>
      <c r="AK26" s="71"/>
    </row>
    <row r="27" spans="2:42" x14ac:dyDescent="0.3">
      <c r="C27" s="7">
        <v>13</v>
      </c>
      <c r="D27" s="8" t="str">
        <f t="shared" si="4"/>
        <v>SEX</v>
      </c>
      <c r="E27" s="17"/>
      <c r="F27" s="33"/>
      <c r="G27" s="34"/>
      <c r="H27" s="34"/>
      <c r="I27" s="35"/>
      <c r="J27" s="55" t="str">
        <f t="shared" si="12"/>
        <v/>
      </c>
      <c r="K27" s="56" cm="1">
        <f t="array" ref="K27">IFERROR(Jornada(D27,$H$11),0)</f>
        <v>0.33333333333333331</v>
      </c>
      <c r="L27" s="56" t="str">
        <f t="shared" si="13"/>
        <v/>
      </c>
      <c r="M27" s="56" t="str" cm="1">
        <f t="array" ref="M27">IFERROR(IF(AND(F27&lt;&gt;"",G27&lt;&gt;"",H27&lt;&gt;"",I27&lt;&gt;""),Atraso(AC27:AF27,$AB$4:$AF$10,D27),""),"ERRO")</f>
        <v/>
      </c>
      <c r="N27" s="56" cm="1">
        <f t="array" ref="N27">IFERROR(IF(E27&lt;&gt;"fol",IF(AND(F27&lt;&gt;"",G27&lt;&gt;"",H27&lt;&gt;"",I27&lt;&gt;""),HorasExtras(AC27:AF27,$AB$4:$AF$10,D27),0),0),0)</f>
        <v>0</v>
      </c>
      <c r="O27" s="57">
        <f t="shared" si="14"/>
        <v>0</v>
      </c>
      <c r="P27" s="58">
        <f t="shared" si="15"/>
        <v>0</v>
      </c>
      <c r="Q27" s="59">
        <f t="shared" si="16"/>
        <v>0</v>
      </c>
      <c r="R27" s="57" cm="1">
        <f t="array" ref="R27">adicionalNoturnoCompleto(AC27,AD27,AE27,AF27)</f>
        <v>0</v>
      </c>
      <c r="S27" s="57">
        <f t="shared" si="17"/>
        <v>0</v>
      </c>
      <c r="T27" s="57">
        <f t="shared" si="18"/>
        <v>0</v>
      </c>
      <c r="U27" s="58">
        <f t="shared" si="19"/>
        <v>0</v>
      </c>
      <c r="V27" s="55">
        <f t="shared" si="21"/>
        <v>0</v>
      </c>
      <c r="W27" s="60">
        <f t="shared" si="5"/>
        <v>0</v>
      </c>
      <c r="X27" s="60">
        <f t="shared" si="20"/>
        <v>0</v>
      </c>
      <c r="Y27" s="58">
        <f t="shared" si="22"/>
        <v>0</v>
      </c>
      <c r="AC27" s="23">
        <f t="shared" si="6"/>
        <v>0</v>
      </c>
      <c r="AD27" s="23">
        <f t="shared" si="7"/>
        <v>0</v>
      </c>
      <c r="AE27" s="23">
        <f t="shared" si="8"/>
        <v>0</v>
      </c>
      <c r="AF27" s="23">
        <f t="shared" si="9"/>
        <v>0</v>
      </c>
      <c r="AG27" s="11">
        <f t="shared" si="10"/>
        <v>44939</v>
      </c>
      <c r="AH27" s="12">
        <f t="shared" si="11"/>
        <v>6</v>
      </c>
      <c r="AJ27" s="71"/>
      <c r="AK27" s="71"/>
    </row>
    <row r="28" spans="2:42" x14ac:dyDescent="0.3">
      <c r="C28" s="7">
        <v>14</v>
      </c>
      <c r="D28" s="8" t="str">
        <f t="shared" si="4"/>
        <v>SAB</v>
      </c>
      <c r="E28" s="17"/>
      <c r="F28" s="33"/>
      <c r="G28" s="34"/>
      <c r="H28" s="34"/>
      <c r="I28" s="35"/>
      <c r="J28" s="55" t="str">
        <f t="shared" si="12"/>
        <v/>
      </c>
      <c r="K28" s="56" cm="1">
        <f t="array" ref="K28">IFERROR(Jornada(D28,$H$11),0)</f>
        <v>0.16666666666666666</v>
      </c>
      <c r="L28" s="56" t="str">
        <f t="shared" si="13"/>
        <v/>
      </c>
      <c r="M28" s="56" t="str" cm="1">
        <f t="array" ref="M28">IFERROR(IF(AND(F28&lt;&gt;"",G28&lt;&gt;"",H28&lt;&gt;"",I28&lt;&gt;""),Atraso(AC28:AF28,$AB$4:$AF$10,D28),""),"ERRO")</f>
        <v/>
      </c>
      <c r="N28" s="56" cm="1">
        <f t="array" ref="N28">IFERROR(IF(E28&lt;&gt;"fol",IF(AND(F28&lt;&gt;"",G28&lt;&gt;"",H28&lt;&gt;"",I28&lt;&gt;""),HorasExtras(AC28:AF28,$AB$4:$AF$10,D28),0),0),0)</f>
        <v>0</v>
      </c>
      <c r="O28" s="57">
        <f t="shared" si="14"/>
        <v>0</v>
      </c>
      <c r="P28" s="58">
        <f t="shared" si="15"/>
        <v>0</v>
      </c>
      <c r="Q28" s="59">
        <f t="shared" si="16"/>
        <v>0</v>
      </c>
      <c r="R28" s="57" cm="1">
        <f t="array" ref="R28">adicionalNoturnoCompleto(AC28,AD28,AE28,AF28)</f>
        <v>0</v>
      </c>
      <c r="S28" s="57">
        <f t="shared" si="17"/>
        <v>0</v>
      </c>
      <c r="T28" s="57">
        <f t="shared" si="18"/>
        <v>0</v>
      </c>
      <c r="U28" s="58">
        <f t="shared" si="19"/>
        <v>0</v>
      </c>
      <c r="V28" s="55">
        <f t="shared" si="21"/>
        <v>0</v>
      </c>
      <c r="W28" s="60">
        <f t="shared" si="5"/>
        <v>0</v>
      </c>
      <c r="X28" s="60">
        <f t="shared" si="20"/>
        <v>0</v>
      </c>
      <c r="Y28" s="58">
        <f t="shared" si="22"/>
        <v>0</v>
      </c>
      <c r="AC28" s="23">
        <f t="shared" si="6"/>
        <v>0</v>
      </c>
      <c r="AD28" s="23">
        <f t="shared" si="7"/>
        <v>0</v>
      </c>
      <c r="AE28" s="23">
        <f t="shared" si="8"/>
        <v>0</v>
      </c>
      <c r="AF28" s="23">
        <f t="shared" si="9"/>
        <v>0</v>
      </c>
      <c r="AG28" s="11">
        <f t="shared" si="10"/>
        <v>44940</v>
      </c>
      <c r="AH28" s="12">
        <f t="shared" si="11"/>
        <v>7</v>
      </c>
      <c r="AJ28" s="71"/>
      <c r="AK28" s="71"/>
    </row>
    <row r="29" spans="2:42" x14ac:dyDescent="0.3">
      <c r="C29" s="7">
        <v>15</v>
      </c>
      <c r="D29" s="8" t="str">
        <f t="shared" si="4"/>
        <v>DOM</v>
      </c>
      <c r="E29" s="17"/>
      <c r="F29" s="33"/>
      <c r="G29" s="34"/>
      <c r="H29" s="34"/>
      <c r="I29" s="35"/>
      <c r="J29" s="55" t="str">
        <f t="shared" si="12"/>
        <v/>
      </c>
      <c r="K29" s="56" cm="1">
        <f t="array" ref="K29">IFERROR(Jornada(D29,$H$11),0)</f>
        <v>0.33333333333333331</v>
      </c>
      <c r="L29" s="56" t="str">
        <f t="shared" si="13"/>
        <v/>
      </c>
      <c r="M29" s="56" t="str" cm="1">
        <f t="array" ref="M29">IFERROR(IF(AND(F29&lt;&gt;"",G29&lt;&gt;"",H29&lt;&gt;"",I29&lt;&gt;""),Atraso(AC29:AF29,$AB$4:$AF$10,D29),""),"ERRO")</f>
        <v/>
      </c>
      <c r="N29" s="56" cm="1">
        <f t="array" ref="N29">IFERROR(IF(E29&lt;&gt;"fol",IF(AND(F29&lt;&gt;"",G29&lt;&gt;"",H29&lt;&gt;"",I29&lt;&gt;""),HorasExtras(AC29:AF29,$AB$4:$AF$10,D29),0),0),0)</f>
        <v>0</v>
      </c>
      <c r="O29" s="57">
        <f t="shared" si="14"/>
        <v>0</v>
      </c>
      <c r="P29" s="58">
        <f t="shared" si="15"/>
        <v>0</v>
      </c>
      <c r="Q29" s="59">
        <f t="shared" si="16"/>
        <v>0</v>
      </c>
      <c r="R29" s="57" cm="1">
        <f t="array" ref="R29">adicionalNoturnoCompleto(AC29,AD29,AE29,AF29)</f>
        <v>0</v>
      </c>
      <c r="S29" s="57">
        <f t="shared" si="17"/>
        <v>0</v>
      </c>
      <c r="T29" s="57">
        <f t="shared" si="18"/>
        <v>0</v>
      </c>
      <c r="U29" s="58">
        <f t="shared" si="19"/>
        <v>0</v>
      </c>
      <c r="V29" s="55">
        <f t="shared" si="21"/>
        <v>0</v>
      </c>
      <c r="W29" s="60">
        <f t="shared" si="5"/>
        <v>0</v>
      </c>
      <c r="X29" s="60">
        <f t="shared" si="20"/>
        <v>0</v>
      </c>
      <c r="Y29" s="58">
        <f t="shared" si="22"/>
        <v>0</v>
      </c>
      <c r="AC29" s="23">
        <f t="shared" si="6"/>
        <v>0</v>
      </c>
      <c r="AD29" s="23">
        <f t="shared" si="7"/>
        <v>0</v>
      </c>
      <c r="AE29" s="23">
        <f t="shared" si="8"/>
        <v>0</v>
      </c>
      <c r="AF29" s="23">
        <f t="shared" si="9"/>
        <v>0</v>
      </c>
      <c r="AG29" s="11">
        <f t="shared" si="10"/>
        <v>44941</v>
      </c>
      <c r="AH29" s="12">
        <f t="shared" si="11"/>
        <v>1</v>
      </c>
    </row>
    <row r="30" spans="2:42" x14ac:dyDescent="0.3">
      <c r="C30" s="7">
        <v>16</v>
      </c>
      <c r="D30" s="8" t="str">
        <f t="shared" si="4"/>
        <v>SEG</v>
      </c>
      <c r="E30" s="17"/>
      <c r="F30" s="33"/>
      <c r="G30" s="34"/>
      <c r="H30" s="34"/>
      <c r="I30" s="35"/>
      <c r="J30" s="55" t="str">
        <f t="shared" si="12"/>
        <v/>
      </c>
      <c r="K30" s="56" cm="1">
        <f t="array" ref="K30">IFERROR(Jornada(D30,$H$11),0)</f>
        <v>0.33333333333333331</v>
      </c>
      <c r="L30" s="56" t="str">
        <f t="shared" si="13"/>
        <v/>
      </c>
      <c r="M30" s="56" t="str" cm="1">
        <f t="array" ref="M30">IFERROR(IF(AND(F30&lt;&gt;"",G30&lt;&gt;"",H30&lt;&gt;"",I30&lt;&gt;""),Atraso(AC30:AF30,$AB$4:$AF$10,D30),""),"ERRO")</f>
        <v/>
      </c>
      <c r="N30" s="56" cm="1">
        <f t="array" ref="N30">IFERROR(IF(E30&lt;&gt;"fol",IF(AND(F30&lt;&gt;"",G30&lt;&gt;"",H30&lt;&gt;"",I30&lt;&gt;""),HorasExtras(AC30:AF30,$AB$4:$AF$10,D30),0),0),0)</f>
        <v>0</v>
      </c>
      <c r="O30" s="57">
        <f t="shared" si="14"/>
        <v>0</v>
      </c>
      <c r="P30" s="58">
        <f t="shared" si="15"/>
        <v>0</v>
      </c>
      <c r="Q30" s="59">
        <f t="shared" si="16"/>
        <v>0</v>
      </c>
      <c r="R30" s="57" cm="1">
        <f t="array" ref="R30">adicionalNoturnoCompleto(AC30,AD30,AE30,AF30)</f>
        <v>0</v>
      </c>
      <c r="S30" s="57">
        <f t="shared" si="17"/>
        <v>0</v>
      </c>
      <c r="T30" s="57">
        <f t="shared" si="18"/>
        <v>0</v>
      </c>
      <c r="U30" s="58">
        <f t="shared" si="19"/>
        <v>0</v>
      </c>
      <c r="V30" s="55">
        <f t="shared" si="21"/>
        <v>0</v>
      </c>
      <c r="W30" s="60">
        <f t="shared" si="5"/>
        <v>0</v>
      </c>
      <c r="X30" s="60">
        <f t="shared" si="20"/>
        <v>0</v>
      </c>
      <c r="Y30" s="58">
        <f t="shared" si="22"/>
        <v>0</v>
      </c>
      <c r="AC30" s="23">
        <f t="shared" si="6"/>
        <v>0</v>
      </c>
      <c r="AD30" s="23">
        <f t="shared" si="7"/>
        <v>0</v>
      </c>
      <c r="AE30" s="23">
        <f t="shared" si="8"/>
        <v>0</v>
      </c>
      <c r="AF30" s="23">
        <f t="shared" si="9"/>
        <v>0</v>
      </c>
      <c r="AG30" s="11">
        <f t="shared" si="10"/>
        <v>44942</v>
      </c>
      <c r="AH30" s="12">
        <f t="shared" si="11"/>
        <v>2</v>
      </c>
      <c r="AJ30" s="71"/>
    </row>
    <row r="31" spans="2:42" x14ac:dyDescent="0.3">
      <c r="C31" s="7">
        <v>17</v>
      </c>
      <c r="D31" s="8" t="str">
        <f t="shared" si="4"/>
        <v>TER</v>
      </c>
      <c r="E31" s="17"/>
      <c r="F31" s="33"/>
      <c r="G31" s="34"/>
      <c r="H31" s="34"/>
      <c r="I31" s="35"/>
      <c r="J31" s="55" t="str">
        <f t="shared" si="12"/>
        <v/>
      </c>
      <c r="K31" s="56" cm="1">
        <f t="array" ref="K31">IFERROR(Jornada(D31,$H$11),0)</f>
        <v>0.33333333333333331</v>
      </c>
      <c r="L31" s="56" t="str">
        <f t="shared" si="13"/>
        <v/>
      </c>
      <c r="M31" s="56" t="str" cm="1">
        <f t="array" ref="M31">IFERROR(IF(AND(F31&lt;&gt;"",G31&lt;&gt;"",H31&lt;&gt;"",I31&lt;&gt;""),Atraso(AC31:AF31,$AB$4:$AF$10,D31),""),"ERRO")</f>
        <v/>
      </c>
      <c r="N31" s="56" cm="1">
        <f t="array" ref="N31">IFERROR(IF(E31&lt;&gt;"fol",IF(AND(F31&lt;&gt;"",G31&lt;&gt;"",H31&lt;&gt;"",I31&lt;&gt;""),HorasExtras(AC31:AF31,$AB$4:$AF$10,D31),0),0),0)</f>
        <v>0</v>
      </c>
      <c r="O31" s="57">
        <f t="shared" si="14"/>
        <v>0</v>
      </c>
      <c r="P31" s="58">
        <f t="shared" si="15"/>
        <v>0</v>
      </c>
      <c r="Q31" s="59">
        <f t="shared" si="16"/>
        <v>0</v>
      </c>
      <c r="R31" s="57" cm="1">
        <f t="array" ref="R31">adicionalNoturnoCompleto(AC31,AD31,AE31,AF31)</f>
        <v>0</v>
      </c>
      <c r="S31" s="57">
        <f t="shared" si="17"/>
        <v>0</v>
      </c>
      <c r="T31" s="57">
        <f t="shared" si="18"/>
        <v>0</v>
      </c>
      <c r="U31" s="58">
        <f t="shared" si="19"/>
        <v>0</v>
      </c>
      <c r="V31" s="55">
        <f t="shared" si="21"/>
        <v>0</v>
      </c>
      <c r="W31" s="60">
        <f t="shared" si="5"/>
        <v>0</v>
      </c>
      <c r="X31" s="60">
        <f t="shared" si="20"/>
        <v>0</v>
      </c>
      <c r="Y31" s="58">
        <f t="shared" si="22"/>
        <v>0</v>
      </c>
      <c r="AC31" s="23">
        <f t="shared" si="6"/>
        <v>0</v>
      </c>
      <c r="AD31" s="23">
        <f t="shared" si="7"/>
        <v>0</v>
      </c>
      <c r="AE31" s="23">
        <f t="shared" si="8"/>
        <v>0</v>
      </c>
      <c r="AF31" s="23">
        <f t="shared" si="9"/>
        <v>0</v>
      </c>
      <c r="AG31" s="11">
        <f t="shared" si="10"/>
        <v>44943</v>
      </c>
      <c r="AH31" s="12">
        <f t="shared" si="11"/>
        <v>3</v>
      </c>
      <c r="AJ31" s="71"/>
    </row>
    <row r="32" spans="2:42" x14ac:dyDescent="0.3">
      <c r="C32" s="7">
        <v>18</v>
      </c>
      <c r="D32" s="8" t="str">
        <f t="shared" si="4"/>
        <v>QUA</v>
      </c>
      <c r="E32" s="17"/>
      <c r="F32" s="33"/>
      <c r="G32" s="34"/>
      <c r="H32" s="34"/>
      <c r="I32" s="35"/>
      <c r="J32" s="55" t="str">
        <f t="shared" si="12"/>
        <v/>
      </c>
      <c r="K32" s="56" cm="1">
        <f t="array" ref="K32">IFERROR(Jornada(D32,$H$11),0)</f>
        <v>0.33333333333333331</v>
      </c>
      <c r="L32" s="56" t="str">
        <f t="shared" si="13"/>
        <v/>
      </c>
      <c r="M32" s="56" t="str" cm="1">
        <f t="array" ref="M32">IFERROR(IF(AND(F32&lt;&gt;"",G32&lt;&gt;"",H32&lt;&gt;"",I32&lt;&gt;""),Atraso(AC32:AF32,$AB$4:$AF$10,D32),""),"ERRO")</f>
        <v/>
      </c>
      <c r="N32" s="56" cm="1">
        <f t="array" ref="N32">IFERROR(IF(E32&lt;&gt;"fol",IF(AND(F32&lt;&gt;"",G32&lt;&gt;"",H32&lt;&gt;"",I32&lt;&gt;""),HorasExtras(AC32:AF32,$AB$4:$AF$10,D32),0),0),0)</f>
        <v>0</v>
      </c>
      <c r="O32" s="57">
        <f t="shared" si="14"/>
        <v>0</v>
      </c>
      <c r="P32" s="58">
        <f t="shared" si="15"/>
        <v>0</v>
      </c>
      <c r="Q32" s="59">
        <f t="shared" si="16"/>
        <v>0</v>
      </c>
      <c r="R32" s="57" cm="1">
        <f t="array" ref="R32">adicionalNoturnoCompleto(AC32,AD32,AE32,AF32)</f>
        <v>0</v>
      </c>
      <c r="S32" s="57">
        <f t="shared" si="17"/>
        <v>0</v>
      </c>
      <c r="T32" s="57">
        <f t="shared" si="18"/>
        <v>0</v>
      </c>
      <c r="U32" s="58">
        <f t="shared" si="19"/>
        <v>0</v>
      </c>
      <c r="V32" s="55">
        <f t="shared" si="21"/>
        <v>0</v>
      </c>
      <c r="W32" s="60">
        <f t="shared" si="5"/>
        <v>0</v>
      </c>
      <c r="X32" s="60">
        <f t="shared" si="20"/>
        <v>0</v>
      </c>
      <c r="Y32" s="58">
        <f t="shared" si="22"/>
        <v>0</v>
      </c>
      <c r="AC32" s="23">
        <f t="shared" si="6"/>
        <v>0</v>
      </c>
      <c r="AD32" s="23">
        <f t="shared" si="7"/>
        <v>0</v>
      </c>
      <c r="AE32" s="23">
        <f t="shared" si="8"/>
        <v>0</v>
      </c>
      <c r="AF32" s="23">
        <f t="shared" si="9"/>
        <v>0</v>
      </c>
      <c r="AG32" s="11">
        <f t="shared" si="10"/>
        <v>44944</v>
      </c>
      <c r="AH32" s="12">
        <f t="shared" si="11"/>
        <v>4</v>
      </c>
    </row>
    <row r="33" spans="3:34" x14ac:dyDescent="0.3">
      <c r="C33" s="7">
        <v>19</v>
      </c>
      <c r="D33" s="8" t="str">
        <f t="shared" si="4"/>
        <v>QUI</v>
      </c>
      <c r="E33" s="17"/>
      <c r="F33" s="33"/>
      <c r="G33" s="34"/>
      <c r="H33" s="34"/>
      <c r="I33" s="35"/>
      <c r="J33" s="55" t="str">
        <f t="shared" si="12"/>
        <v/>
      </c>
      <c r="K33" s="56" cm="1">
        <f t="array" ref="K33">IFERROR(Jornada(D33,$H$11),0)</f>
        <v>0.33333333333333331</v>
      </c>
      <c r="L33" s="56" t="str">
        <f t="shared" si="13"/>
        <v/>
      </c>
      <c r="M33" s="56" t="str" cm="1">
        <f t="array" ref="M33">IFERROR(IF(AND(F33&lt;&gt;"",G33&lt;&gt;"",H33&lt;&gt;"",I33&lt;&gt;""),Atraso(AC33:AF33,$AB$4:$AF$10,D33),""),"ERRO")</f>
        <v/>
      </c>
      <c r="N33" s="56" cm="1">
        <f t="array" ref="N33">IFERROR(IF(E33&lt;&gt;"fol",IF(AND(F33&lt;&gt;"",G33&lt;&gt;"",H33&lt;&gt;"",I33&lt;&gt;""),HorasExtras(AC33:AF33,$AB$4:$AF$10,D33),0),0),0)</f>
        <v>0</v>
      </c>
      <c r="O33" s="57">
        <f t="shared" si="14"/>
        <v>0</v>
      </c>
      <c r="P33" s="58">
        <f t="shared" si="15"/>
        <v>0</v>
      </c>
      <c r="Q33" s="59">
        <f t="shared" si="16"/>
        <v>0</v>
      </c>
      <c r="R33" s="57" cm="1">
        <f t="array" ref="R33">adicionalNoturnoCompleto(AC33,AD33,AE33,AF33)</f>
        <v>0</v>
      </c>
      <c r="S33" s="57">
        <f t="shared" si="17"/>
        <v>0</v>
      </c>
      <c r="T33" s="57">
        <f t="shared" si="18"/>
        <v>0</v>
      </c>
      <c r="U33" s="58">
        <f t="shared" si="19"/>
        <v>0</v>
      </c>
      <c r="V33" s="55">
        <f t="shared" si="21"/>
        <v>0</v>
      </c>
      <c r="W33" s="60">
        <f t="shared" si="5"/>
        <v>0</v>
      </c>
      <c r="X33" s="60">
        <f t="shared" si="20"/>
        <v>0</v>
      </c>
      <c r="Y33" s="58">
        <f t="shared" si="22"/>
        <v>0</v>
      </c>
      <c r="AC33" s="23">
        <f t="shared" si="6"/>
        <v>0</v>
      </c>
      <c r="AD33" s="23">
        <f t="shared" si="7"/>
        <v>0</v>
      </c>
      <c r="AE33" s="23">
        <f t="shared" si="8"/>
        <v>0</v>
      </c>
      <c r="AF33" s="23">
        <f t="shared" si="9"/>
        <v>0</v>
      </c>
      <c r="AG33" s="11">
        <f t="shared" si="10"/>
        <v>44945</v>
      </c>
      <c r="AH33" s="12">
        <f t="shared" si="11"/>
        <v>5</v>
      </c>
    </row>
    <row r="34" spans="3:34" x14ac:dyDescent="0.3">
      <c r="C34" s="7">
        <v>20</v>
      </c>
      <c r="D34" s="8" t="str">
        <f t="shared" si="4"/>
        <v>SEX</v>
      </c>
      <c r="E34" s="17"/>
      <c r="F34" s="33"/>
      <c r="G34" s="34"/>
      <c r="H34" s="34"/>
      <c r="I34" s="35"/>
      <c r="J34" s="55" t="str">
        <f t="shared" si="12"/>
        <v/>
      </c>
      <c r="K34" s="56" cm="1">
        <f t="array" ref="K34">IFERROR(Jornada(D34,$H$11),0)</f>
        <v>0.33333333333333331</v>
      </c>
      <c r="L34" s="56" t="str">
        <f t="shared" si="13"/>
        <v/>
      </c>
      <c r="M34" s="56" t="str" cm="1">
        <f t="array" ref="M34">IFERROR(IF(AND(F34&lt;&gt;"",G34&lt;&gt;"",H34&lt;&gt;"",I34&lt;&gt;""),Atraso(AC34:AF34,$AB$4:$AF$10,D34),""),"ERRO")</f>
        <v/>
      </c>
      <c r="N34" s="56" cm="1">
        <f t="array" ref="N34">IFERROR(IF(E34&lt;&gt;"fol",IF(AND(F34&lt;&gt;"",G34&lt;&gt;"",H34&lt;&gt;"",I34&lt;&gt;""),HorasExtras(AC34:AF34,$AB$4:$AF$10,D34),0),0),0)</f>
        <v>0</v>
      </c>
      <c r="O34" s="57">
        <f t="shared" si="14"/>
        <v>0</v>
      </c>
      <c r="P34" s="58">
        <f t="shared" si="15"/>
        <v>0</v>
      </c>
      <c r="Q34" s="59">
        <f t="shared" si="16"/>
        <v>0</v>
      </c>
      <c r="R34" s="57" cm="1">
        <f t="array" ref="R34">adicionalNoturnoCompleto(AC34,AD34,AE34,AF34)</f>
        <v>0</v>
      </c>
      <c r="S34" s="57">
        <f t="shared" si="17"/>
        <v>0</v>
      </c>
      <c r="T34" s="57">
        <f t="shared" si="18"/>
        <v>0</v>
      </c>
      <c r="U34" s="58">
        <f t="shared" si="19"/>
        <v>0</v>
      </c>
      <c r="V34" s="55">
        <f t="shared" si="21"/>
        <v>0</v>
      </c>
      <c r="W34" s="60">
        <f t="shared" si="5"/>
        <v>0</v>
      </c>
      <c r="X34" s="60">
        <f t="shared" si="20"/>
        <v>0</v>
      </c>
      <c r="Y34" s="58">
        <f t="shared" si="22"/>
        <v>0</v>
      </c>
      <c r="AC34" s="23">
        <f t="shared" si="6"/>
        <v>0</v>
      </c>
      <c r="AD34" s="23">
        <f t="shared" si="7"/>
        <v>0</v>
      </c>
      <c r="AE34" s="23">
        <f t="shared" si="8"/>
        <v>0</v>
      </c>
      <c r="AF34" s="23">
        <f t="shared" si="9"/>
        <v>0</v>
      </c>
      <c r="AG34" s="11">
        <f t="shared" si="10"/>
        <v>44946</v>
      </c>
      <c r="AH34" s="12">
        <f t="shared" si="11"/>
        <v>6</v>
      </c>
    </row>
    <row r="35" spans="3:34" x14ac:dyDescent="0.3">
      <c r="C35" s="7">
        <v>21</v>
      </c>
      <c r="D35" s="8" t="str">
        <f t="shared" si="4"/>
        <v>SAB</v>
      </c>
      <c r="E35" s="17"/>
      <c r="F35" s="33"/>
      <c r="G35" s="34"/>
      <c r="H35" s="34"/>
      <c r="I35" s="35"/>
      <c r="J35" s="55" t="str">
        <f t="shared" si="12"/>
        <v/>
      </c>
      <c r="K35" s="56" cm="1">
        <f t="array" ref="K35">IFERROR(Jornada(D35,$H$11),0)</f>
        <v>0.16666666666666666</v>
      </c>
      <c r="L35" s="56" t="str">
        <f t="shared" si="13"/>
        <v/>
      </c>
      <c r="M35" s="56" t="str" cm="1">
        <f t="array" ref="M35">IFERROR(IF(AND(F35&lt;&gt;"",G35&lt;&gt;"",H35&lt;&gt;"",I35&lt;&gt;""),Atraso(AC35:AF35,$AB$4:$AF$10,D35),""),"ERRO")</f>
        <v/>
      </c>
      <c r="N35" s="56" cm="1">
        <f t="array" ref="N35">IFERROR(IF(E35&lt;&gt;"fol",IF(AND(F35&lt;&gt;"",G35&lt;&gt;"",H35&lt;&gt;"",I35&lt;&gt;""),HorasExtras(AC35:AF35,$AB$4:$AF$10,D35),0),0),0)</f>
        <v>0</v>
      </c>
      <c r="O35" s="57">
        <f t="shared" si="14"/>
        <v>0</v>
      </c>
      <c r="P35" s="58">
        <f t="shared" si="15"/>
        <v>0</v>
      </c>
      <c r="Q35" s="59">
        <f t="shared" si="16"/>
        <v>0</v>
      </c>
      <c r="R35" s="57" cm="1">
        <f t="array" ref="R35">adicionalNoturnoCompleto(AC35,AD35,AE35,AF35)</f>
        <v>0</v>
      </c>
      <c r="S35" s="57">
        <f t="shared" si="17"/>
        <v>0</v>
      </c>
      <c r="T35" s="57">
        <f t="shared" si="18"/>
        <v>0</v>
      </c>
      <c r="U35" s="58">
        <f t="shared" si="19"/>
        <v>0</v>
      </c>
      <c r="V35" s="55">
        <f t="shared" si="21"/>
        <v>0</v>
      </c>
      <c r="W35" s="60">
        <f t="shared" si="5"/>
        <v>0</v>
      </c>
      <c r="X35" s="60">
        <f t="shared" si="20"/>
        <v>0</v>
      </c>
      <c r="Y35" s="58">
        <f t="shared" si="22"/>
        <v>0</v>
      </c>
      <c r="AC35" s="23">
        <f t="shared" si="6"/>
        <v>0</v>
      </c>
      <c r="AD35" s="23">
        <f t="shared" si="7"/>
        <v>0</v>
      </c>
      <c r="AE35" s="23">
        <f t="shared" si="8"/>
        <v>0</v>
      </c>
      <c r="AF35" s="23">
        <f t="shared" si="9"/>
        <v>0</v>
      </c>
      <c r="AG35" s="11">
        <f t="shared" si="10"/>
        <v>44947</v>
      </c>
      <c r="AH35" s="12">
        <f t="shared" si="11"/>
        <v>7</v>
      </c>
    </row>
    <row r="36" spans="3:34" x14ac:dyDescent="0.3">
      <c r="C36" s="7">
        <v>22</v>
      </c>
      <c r="D36" s="8" t="str">
        <f t="shared" si="4"/>
        <v>DOM</v>
      </c>
      <c r="E36" s="17"/>
      <c r="F36" s="33"/>
      <c r="G36" s="34"/>
      <c r="H36" s="34"/>
      <c r="I36" s="35"/>
      <c r="J36" s="55" t="str">
        <f t="shared" si="12"/>
        <v/>
      </c>
      <c r="K36" s="56" cm="1">
        <f t="array" ref="K36">IFERROR(Jornada(D36,$H$11),0)</f>
        <v>0.33333333333333331</v>
      </c>
      <c r="L36" s="56" t="str">
        <f t="shared" si="13"/>
        <v/>
      </c>
      <c r="M36" s="56" t="str" cm="1">
        <f t="array" ref="M36">IFERROR(IF(AND(F36&lt;&gt;"",G36&lt;&gt;"",H36&lt;&gt;"",I36&lt;&gt;""),Atraso(AC36:AF36,$AB$4:$AF$10,D36),""),"ERRO")</f>
        <v/>
      </c>
      <c r="N36" s="56" cm="1">
        <f t="array" ref="N36">IFERROR(IF(E36&lt;&gt;"fol",IF(AND(F36&lt;&gt;"",G36&lt;&gt;"",H36&lt;&gt;"",I36&lt;&gt;""),HorasExtras(AC36:AF36,$AB$4:$AF$10,D36),0),0),0)</f>
        <v>0</v>
      </c>
      <c r="O36" s="57">
        <f t="shared" si="14"/>
        <v>0</v>
      </c>
      <c r="P36" s="58">
        <f t="shared" si="15"/>
        <v>0</v>
      </c>
      <c r="Q36" s="59">
        <f t="shared" si="16"/>
        <v>0</v>
      </c>
      <c r="R36" s="57" cm="1">
        <f t="array" ref="R36">adicionalNoturnoCompleto(AC36,AD36,AE36,AF36)</f>
        <v>0</v>
      </c>
      <c r="S36" s="57">
        <f t="shared" si="17"/>
        <v>0</v>
      </c>
      <c r="T36" s="57">
        <f t="shared" si="18"/>
        <v>0</v>
      </c>
      <c r="U36" s="58">
        <f t="shared" si="19"/>
        <v>0</v>
      </c>
      <c r="V36" s="55">
        <f t="shared" si="21"/>
        <v>0</v>
      </c>
      <c r="W36" s="60">
        <f t="shared" si="5"/>
        <v>0</v>
      </c>
      <c r="X36" s="60">
        <f t="shared" si="20"/>
        <v>0</v>
      </c>
      <c r="Y36" s="58">
        <f t="shared" si="22"/>
        <v>0</v>
      </c>
      <c r="AC36" s="23">
        <f t="shared" si="6"/>
        <v>0</v>
      </c>
      <c r="AD36" s="23">
        <f t="shared" si="7"/>
        <v>0</v>
      </c>
      <c r="AE36" s="23">
        <f t="shared" si="8"/>
        <v>0</v>
      </c>
      <c r="AF36" s="23">
        <f t="shared" si="9"/>
        <v>0</v>
      </c>
      <c r="AG36" s="11">
        <f t="shared" si="10"/>
        <v>44948</v>
      </c>
      <c r="AH36" s="12">
        <f t="shared" si="11"/>
        <v>1</v>
      </c>
    </row>
    <row r="37" spans="3:34" x14ac:dyDescent="0.3">
      <c r="C37" s="7">
        <v>23</v>
      </c>
      <c r="D37" s="8" t="str">
        <f t="shared" si="4"/>
        <v>SEG</v>
      </c>
      <c r="E37" s="17"/>
      <c r="F37" s="33"/>
      <c r="G37" s="34"/>
      <c r="H37" s="34"/>
      <c r="I37" s="35"/>
      <c r="J37" s="55" t="str">
        <f t="shared" si="12"/>
        <v/>
      </c>
      <c r="K37" s="56" cm="1">
        <f t="array" ref="K37">IFERROR(Jornada(D37,$H$11),0)</f>
        <v>0.33333333333333331</v>
      </c>
      <c r="L37" s="56" t="str">
        <f t="shared" si="13"/>
        <v/>
      </c>
      <c r="M37" s="56" t="str" cm="1">
        <f t="array" ref="M37">IFERROR(IF(AND(F37&lt;&gt;"",G37&lt;&gt;"",H37&lt;&gt;"",I37&lt;&gt;""),Atraso(AC37:AF37,$AB$4:$AF$10,D37),""),"ERRO")</f>
        <v/>
      </c>
      <c r="N37" s="56" cm="1">
        <f t="array" ref="N37">IFERROR(IF(E37&lt;&gt;"fol",IF(AND(F37&lt;&gt;"",G37&lt;&gt;"",H37&lt;&gt;"",I37&lt;&gt;""),HorasExtras(AC37:AF37,$AB$4:$AF$10,D37),0),0),0)</f>
        <v>0</v>
      </c>
      <c r="O37" s="57">
        <f t="shared" si="14"/>
        <v>0</v>
      </c>
      <c r="P37" s="58">
        <f t="shared" si="15"/>
        <v>0</v>
      </c>
      <c r="Q37" s="59">
        <f t="shared" si="16"/>
        <v>0</v>
      </c>
      <c r="R37" s="57" cm="1">
        <f t="array" ref="R37">adicionalNoturnoCompleto(AC37,AD37,AE37,AF37)</f>
        <v>0</v>
      </c>
      <c r="S37" s="57">
        <f t="shared" si="17"/>
        <v>0</v>
      </c>
      <c r="T37" s="57">
        <f t="shared" si="18"/>
        <v>0</v>
      </c>
      <c r="U37" s="58">
        <f t="shared" si="19"/>
        <v>0</v>
      </c>
      <c r="V37" s="55">
        <f t="shared" si="21"/>
        <v>0</v>
      </c>
      <c r="W37" s="60">
        <f t="shared" si="5"/>
        <v>0</v>
      </c>
      <c r="X37" s="60">
        <f t="shared" si="20"/>
        <v>0</v>
      </c>
      <c r="Y37" s="58">
        <f t="shared" si="22"/>
        <v>0</v>
      </c>
      <c r="AC37" s="23">
        <f t="shared" si="6"/>
        <v>0</v>
      </c>
      <c r="AD37" s="23">
        <f t="shared" si="7"/>
        <v>0</v>
      </c>
      <c r="AE37" s="23">
        <f t="shared" si="8"/>
        <v>0</v>
      </c>
      <c r="AF37" s="23">
        <f t="shared" si="9"/>
        <v>0</v>
      </c>
      <c r="AG37" s="11">
        <f t="shared" si="10"/>
        <v>44949</v>
      </c>
      <c r="AH37" s="12">
        <f t="shared" si="11"/>
        <v>2</v>
      </c>
    </row>
    <row r="38" spans="3:34" x14ac:dyDescent="0.3">
      <c r="C38" s="7">
        <v>24</v>
      </c>
      <c r="D38" s="8" t="str">
        <f t="shared" si="4"/>
        <v>TER</v>
      </c>
      <c r="E38" s="17"/>
      <c r="F38" s="33"/>
      <c r="G38" s="34"/>
      <c r="H38" s="34"/>
      <c r="I38" s="35"/>
      <c r="J38" s="55" t="str">
        <f t="shared" si="12"/>
        <v/>
      </c>
      <c r="K38" s="56" cm="1">
        <f t="array" ref="K38">IFERROR(Jornada(D38,$H$11),0)</f>
        <v>0.33333333333333331</v>
      </c>
      <c r="L38" s="56" t="str">
        <f t="shared" si="13"/>
        <v/>
      </c>
      <c r="M38" s="56" t="str" cm="1">
        <f t="array" ref="M38">IFERROR(IF(AND(F38&lt;&gt;"",G38&lt;&gt;"",H38&lt;&gt;"",I38&lt;&gt;""),Atraso(AC38:AF38,$AB$4:$AF$10,D38),""),"ERRO")</f>
        <v/>
      </c>
      <c r="N38" s="56" cm="1">
        <f t="array" ref="N38">IFERROR(IF(E38&lt;&gt;"fol",IF(AND(F38&lt;&gt;"",G38&lt;&gt;"",H38&lt;&gt;"",I38&lt;&gt;""),HorasExtras(AC38:AF38,$AB$4:$AF$10,D38),0),0),0)</f>
        <v>0</v>
      </c>
      <c r="O38" s="57">
        <f t="shared" si="14"/>
        <v>0</v>
      </c>
      <c r="P38" s="58">
        <f t="shared" si="15"/>
        <v>0</v>
      </c>
      <c r="Q38" s="59">
        <f t="shared" si="16"/>
        <v>0</v>
      </c>
      <c r="R38" s="57" cm="1">
        <f t="array" ref="R38">adicionalNoturnoCompleto(AC38,AD38,AE38,AF38)</f>
        <v>0</v>
      </c>
      <c r="S38" s="57">
        <f t="shared" si="17"/>
        <v>0</v>
      </c>
      <c r="T38" s="57">
        <f t="shared" si="18"/>
        <v>0</v>
      </c>
      <c r="U38" s="58">
        <f t="shared" si="19"/>
        <v>0</v>
      </c>
      <c r="V38" s="55">
        <f t="shared" si="21"/>
        <v>0</v>
      </c>
      <c r="W38" s="60">
        <f t="shared" si="5"/>
        <v>0</v>
      </c>
      <c r="X38" s="60">
        <f t="shared" si="20"/>
        <v>0</v>
      </c>
      <c r="Y38" s="58">
        <f t="shared" si="22"/>
        <v>0</v>
      </c>
      <c r="AC38" s="23">
        <f t="shared" si="6"/>
        <v>0</v>
      </c>
      <c r="AD38" s="23">
        <f t="shared" si="7"/>
        <v>0</v>
      </c>
      <c r="AE38" s="23">
        <f t="shared" si="8"/>
        <v>0</v>
      </c>
      <c r="AF38" s="23">
        <f t="shared" si="9"/>
        <v>0</v>
      </c>
      <c r="AG38" s="11">
        <f t="shared" si="10"/>
        <v>44950</v>
      </c>
      <c r="AH38" s="12">
        <f t="shared" si="11"/>
        <v>3</v>
      </c>
    </row>
    <row r="39" spans="3:34" x14ac:dyDescent="0.3">
      <c r="C39" s="7">
        <v>25</v>
      </c>
      <c r="D39" s="8" t="str">
        <f t="shared" si="4"/>
        <v>QUA</v>
      </c>
      <c r="E39" s="17"/>
      <c r="F39" s="33"/>
      <c r="G39" s="34"/>
      <c r="H39" s="34"/>
      <c r="I39" s="35"/>
      <c r="J39" s="55" t="str">
        <f t="shared" si="12"/>
        <v/>
      </c>
      <c r="K39" s="56" cm="1">
        <f t="array" ref="K39">IFERROR(Jornada(D39,$H$11),0)</f>
        <v>0.33333333333333331</v>
      </c>
      <c r="L39" s="56" t="str">
        <f t="shared" si="13"/>
        <v/>
      </c>
      <c r="M39" s="56" t="str" cm="1">
        <f t="array" ref="M39">IFERROR(IF(AND(F39&lt;&gt;"",G39&lt;&gt;"",H39&lt;&gt;"",I39&lt;&gt;""),Atraso(AC39:AF39,$AB$4:$AF$10,D39),""),"ERRO")</f>
        <v/>
      </c>
      <c r="N39" s="56" cm="1">
        <f t="array" ref="N39">IFERROR(IF(E39&lt;&gt;"fol",IF(AND(F39&lt;&gt;"",G39&lt;&gt;"",H39&lt;&gt;"",I39&lt;&gt;""),HorasExtras(AC39:AF39,$AB$4:$AF$10,D39),0),0),0)</f>
        <v>0</v>
      </c>
      <c r="O39" s="57">
        <f t="shared" si="14"/>
        <v>0</v>
      </c>
      <c r="P39" s="58">
        <f t="shared" si="15"/>
        <v>0</v>
      </c>
      <c r="Q39" s="59">
        <f t="shared" si="16"/>
        <v>0</v>
      </c>
      <c r="R39" s="57" cm="1">
        <f t="array" ref="R39">adicionalNoturnoCompleto(AC39,AD39,AE39,AF39)</f>
        <v>0</v>
      </c>
      <c r="S39" s="57">
        <f t="shared" si="17"/>
        <v>0</v>
      </c>
      <c r="T39" s="57">
        <f t="shared" si="18"/>
        <v>0</v>
      </c>
      <c r="U39" s="58">
        <f t="shared" si="19"/>
        <v>0</v>
      </c>
      <c r="V39" s="55">
        <f t="shared" si="21"/>
        <v>0</v>
      </c>
      <c r="W39" s="60">
        <f t="shared" si="5"/>
        <v>0</v>
      </c>
      <c r="X39" s="60">
        <f t="shared" si="20"/>
        <v>0</v>
      </c>
      <c r="Y39" s="58">
        <f t="shared" si="22"/>
        <v>0</v>
      </c>
      <c r="AC39" s="23">
        <f t="shared" si="6"/>
        <v>0</v>
      </c>
      <c r="AD39" s="23">
        <f t="shared" si="7"/>
        <v>0</v>
      </c>
      <c r="AE39" s="23">
        <f t="shared" si="8"/>
        <v>0</v>
      </c>
      <c r="AF39" s="23">
        <f t="shared" si="9"/>
        <v>0</v>
      </c>
      <c r="AG39" s="11">
        <f t="shared" si="10"/>
        <v>44951</v>
      </c>
      <c r="AH39" s="12">
        <f t="shared" si="11"/>
        <v>4</v>
      </c>
    </row>
    <row r="40" spans="3:34" x14ac:dyDescent="0.3">
      <c r="C40" s="7">
        <v>26</v>
      </c>
      <c r="D40" s="8" t="str">
        <f t="shared" si="4"/>
        <v>QUI</v>
      </c>
      <c r="E40" s="17"/>
      <c r="F40" s="33"/>
      <c r="G40" s="34"/>
      <c r="H40" s="34"/>
      <c r="I40" s="35"/>
      <c r="J40" s="55" t="str">
        <f t="shared" si="12"/>
        <v/>
      </c>
      <c r="K40" s="56" cm="1">
        <f t="array" ref="K40">IFERROR(Jornada(D40,$H$11),0)</f>
        <v>0.33333333333333331</v>
      </c>
      <c r="L40" s="56" t="str">
        <f t="shared" si="13"/>
        <v/>
      </c>
      <c r="M40" s="56" t="str" cm="1">
        <f t="array" ref="M40">IFERROR(IF(AND(F40&lt;&gt;"",G40&lt;&gt;"",H40&lt;&gt;"",I40&lt;&gt;""),Atraso(AC40:AF40,$AB$4:$AF$10,D40),""),"ERRO")</f>
        <v/>
      </c>
      <c r="N40" s="56" cm="1">
        <f t="array" ref="N40">IFERROR(IF(E40&lt;&gt;"fol",IF(AND(F40&lt;&gt;"",G40&lt;&gt;"",H40&lt;&gt;"",I40&lt;&gt;""),HorasExtras(AC40:AF40,$AB$4:$AF$10,D40),0),0),0)</f>
        <v>0</v>
      </c>
      <c r="O40" s="57">
        <f t="shared" si="14"/>
        <v>0</v>
      </c>
      <c r="P40" s="58">
        <f t="shared" si="15"/>
        <v>0</v>
      </c>
      <c r="Q40" s="59">
        <f t="shared" si="16"/>
        <v>0</v>
      </c>
      <c r="R40" s="57" cm="1">
        <f t="array" ref="R40">adicionalNoturnoCompleto(AC40,AD40,AE40,AF40)</f>
        <v>0</v>
      </c>
      <c r="S40" s="57">
        <f t="shared" si="17"/>
        <v>0</v>
      </c>
      <c r="T40" s="57">
        <f t="shared" si="18"/>
        <v>0</v>
      </c>
      <c r="U40" s="58">
        <f t="shared" si="19"/>
        <v>0</v>
      </c>
      <c r="V40" s="55">
        <f t="shared" si="21"/>
        <v>0</v>
      </c>
      <c r="W40" s="60">
        <f t="shared" si="5"/>
        <v>0</v>
      </c>
      <c r="X40" s="60">
        <f t="shared" si="20"/>
        <v>0</v>
      </c>
      <c r="Y40" s="58">
        <f t="shared" si="22"/>
        <v>0</v>
      </c>
      <c r="AC40" s="23">
        <f t="shared" si="6"/>
        <v>0</v>
      </c>
      <c r="AD40" s="23">
        <f t="shared" si="7"/>
        <v>0</v>
      </c>
      <c r="AE40" s="23">
        <f t="shared" si="8"/>
        <v>0</v>
      </c>
      <c r="AF40" s="23">
        <f t="shared" si="9"/>
        <v>0</v>
      </c>
      <c r="AG40" s="11">
        <f t="shared" si="10"/>
        <v>44952</v>
      </c>
      <c r="AH40" s="12">
        <f t="shared" si="11"/>
        <v>5</v>
      </c>
    </row>
    <row r="41" spans="3:34" x14ac:dyDescent="0.3">
      <c r="C41" s="7">
        <v>27</v>
      </c>
      <c r="D41" s="8" t="str">
        <f t="shared" si="4"/>
        <v>SEX</v>
      </c>
      <c r="E41" s="17"/>
      <c r="F41" s="33"/>
      <c r="G41" s="34"/>
      <c r="H41" s="34"/>
      <c r="I41" s="35"/>
      <c r="J41" s="55" t="str">
        <f t="shared" si="12"/>
        <v/>
      </c>
      <c r="K41" s="56" cm="1">
        <f t="array" ref="K41">IFERROR(Jornada(D41,$H$11),0)</f>
        <v>0.33333333333333331</v>
      </c>
      <c r="L41" s="56" t="str">
        <f t="shared" si="13"/>
        <v/>
      </c>
      <c r="M41" s="56" t="str" cm="1">
        <f t="array" ref="M41">IFERROR(IF(AND(F41&lt;&gt;"",G41&lt;&gt;"",H41&lt;&gt;"",I41&lt;&gt;""),Atraso(AC41:AF41,$AB$4:$AF$10,D41),""),"ERRO")</f>
        <v/>
      </c>
      <c r="N41" s="56" cm="1">
        <f t="array" ref="N41">IFERROR(IF(E41&lt;&gt;"fol",IF(AND(F41&lt;&gt;"",G41&lt;&gt;"",H41&lt;&gt;"",I41&lt;&gt;""),HorasExtras(AC41:AF41,$AB$4:$AF$10,D41),0),0),0)</f>
        <v>0</v>
      </c>
      <c r="O41" s="57">
        <f t="shared" si="14"/>
        <v>0</v>
      </c>
      <c r="P41" s="58">
        <f t="shared" si="15"/>
        <v>0</v>
      </c>
      <c r="Q41" s="59">
        <f t="shared" si="16"/>
        <v>0</v>
      </c>
      <c r="R41" s="57" cm="1">
        <f t="array" ref="R41">adicionalNoturnoCompleto(AC41,AD41,AE41,AF41)</f>
        <v>0</v>
      </c>
      <c r="S41" s="57">
        <f t="shared" si="17"/>
        <v>0</v>
      </c>
      <c r="T41" s="57">
        <f t="shared" si="18"/>
        <v>0</v>
      </c>
      <c r="U41" s="58">
        <f t="shared" si="19"/>
        <v>0</v>
      </c>
      <c r="V41" s="55">
        <f t="shared" si="21"/>
        <v>0</v>
      </c>
      <c r="W41" s="60">
        <f t="shared" si="5"/>
        <v>0</v>
      </c>
      <c r="X41" s="60">
        <f t="shared" si="20"/>
        <v>0</v>
      </c>
      <c r="Y41" s="58">
        <f t="shared" si="22"/>
        <v>0</v>
      </c>
      <c r="AC41" s="23">
        <f t="shared" si="6"/>
        <v>0</v>
      </c>
      <c r="AD41" s="23">
        <f t="shared" si="7"/>
        <v>0</v>
      </c>
      <c r="AE41" s="23">
        <f t="shared" si="8"/>
        <v>0</v>
      </c>
      <c r="AF41" s="23">
        <f t="shared" si="9"/>
        <v>0</v>
      </c>
      <c r="AG41" s="11">
        <f t="shared" si="10"/>
        <v>44953</v>
      </c>
      <c r="AH41" s="12">
        <f t="shared" si="11"/>
        <v>6</v>
      </c>
    </row>
    <row r="42" spans="3:34" x14ac:dyDescent="0.3">
      <c r="C42" s="7">
        <v>28</v>
      </c>
      <c r="D42" s="8" t="str">
        <f t="shared" si="4"/>
        <v>SAB</v>
      </c>
      <c r="E42" s="17"/>
      <c r="F42" s="33"/>
      <c r="G42" s="34"/>
      <c r="H42" s="34"/>
      <c r="I42" s="35"/>
      <c r="J42" s="55" t="str">
        <f t="shared" si="12"/>
        <v/>
      </c>
      <c r="K42" s="56" cm="1">
        <f t="array" ref="K42">IFERROR(Jornada(D42,$H$11),0)</f>
        <v>0.16666666666666666</v>
      </c>
      <c r="L42" s="56" t="str">
        <f t="shared" si="13"/>
        <v/>
      </c>
      <c r="M42" s="56" t="str" cm="1">
        <f t="array" ref="M42">IFERROR(IF(AND(F42&lt;&gt;"",G42&lt;&gt;"",H42&lt;&gt;"",I42&lt;&gt;""),Atraso(AC42:AF42,$AB$4:$AF$10,D42),""),"ERRO")</f>
        <v/>
      </c>
      <c r="N42" s="56" cm="1">
        <f t="array" ref="N42">IFERROR(IF(E42&lt;&gt;"fol",IF(AND(F42&lt;&gt;"",G42&lt;&gt;"",H42&lt;&gt;"",I42&lt;&gt;""),HorasExtras(AC42:AF42,$AB$4:$AF$10,D42),0),0),0)</f>
        <v>0</v>
      </c>
      <c r="O42" s="57">
        <f t="shared" si="14"/>
        <v>0</v>
      </c>
      <c r="P42" s="58">
        <f t="shared" si="15"/>
        <v>0</v>
      </c>
      <c r="Q42" s="59">
        <f t="shared" si="16"/>
        <v>0</v>
      </c>
      <c r="R42" s="57" cm="1">
        <f t="array" ref="R42">adicionalNoturnoCompleto(AC42,AD42,AE42,AF42)</f>
        <v>0</v>
      </c>
      <c r="S42" s="57">
        <f t="shared" si="17"/>
        <v>0</v>
      </c>
      <c r="T42" s="57">
        <f t="shared" si="18"/>
        <v>0</v>
      </c>
      <c r="U42" s="58">
        <f t="shared" si="19"/>
        <v>0</v>
      </c>
      <c r="V42" s="55">
        <f t="shared" si="21"/>
        <v>0</v>
      </c>
      <c r="W42" s="60">
        <f t="shared" si="5"/>
        <v>0</v>
      </c>
      <c r="X42" s="60">
        <f t="shared" si="20"/>
        <v>0</v>
      </c>
      <c r="Y42" s="58">
        <f t="shared" si="22"/>
        <v>0</v>
      </c>
      <c r="AC42" s="23">
        <f t="shared" si="6"/>
        <v>0</v>
      </c>
      <c r="AD42" s="23">
        <f t="shared" si="7"/>
        <v>0</v>
      </c>
      <c r="AE42" s="23">
        <f t="shared" si="8"/>
        <v>0</v>
      </c>
      <c r="AF42" s="23">
        <f t="shared" si="9"/>
        <v>0</v>
      </c>
      <c r="AG42" s="11">
        <f t="shared" si="10"/>
        <v>44954</v>
      </c>
      <c r="AH42" s="12">
        <f t="shared" si="11"/>
        <v>7</v>
      </c>
    </row>
    <row r="43" spans="3:34" x14ac:dyDescent="0.3">
      <c r="C43" s="7">
        <f>IFERROR(IF(OR(C44&lt;&gt;"",AP20="SIM"),29,""),"")</f>
        <v>29</v>
      </c>
      <c r="D43" s="8" t="str">
        <f t="shared" si="4"/>
        <v>DOM</v>
      </c>
      <c r="E43" s="17"/>
      <c r="F43" s="33"/>
      <c r="G43" s="34"/>
      <c r="H43" s="34"/>
      <c r="I43" s="35"/>
      <c r="J43" s="55" t="str">
        <f t="shared" si="12"/>
        <v/>
      </c>
      <c r="K43" s="56" cm="1">
        <f t="array" ref="K43">IFERROR(Jornada(D43,$H$11),0)</f>
        <v>0.33333333333333331</v>
      </c>
      <c r="L43" s="56" t="str">
        <f t="shared" si="13"/>
        <v/>
      </c>
      <c r="M43" s="56" t="str" cm="1">
        <f t="array" ref="M43">IFERROR(IF(AND(F43&lt;&gt;"",G43&lt;&gt;"",H43&lt;&gt;"",I43&lt;&gt;""),Atraso(AC43:AF43,$AB$4:$AF$10,D43),""),"ERRO")</f>
        <v/>
      </c>
      <c r="N43" s="56" cm="1">
        <f t="array" ref="N43">IFERROR(IF(E43&lt;&gt;"fol",IF(AND(F43&lt;&gt;"",G43&lt;&gt;"",H43&lt;&gt;"",I43&lt;&gt;""),HorasExtras(AC43:AF43,$AB$4:$AF$10,D43),0),0),0)</f>
        <v>0</v>
      </c>
      <c r="O43" s="57">
        <f t="shared" si="14"/>
        <v>0</v>
      </c>
      <c r="P43" s="58">
        <f t="shared" si="15"/>
        <v>0</v>
      </c>
      <c r="Q43" s="73">
        <f>IFERROR(IF(C43&lt;&gt;"",(R43)*(60/52.5),0),"ERRO")</f>
        <v>0</v>
      </c>
      <c r="R43" s="57" cm="1">
        <f t="array" ref="R43">adicionalNoturnoCompleto(AC43,AD43,AE43,AF43)</f>
        <v>0</v>
      </c>
      <c r="S43" s="74">
        <f t="shared" si="17"/>
        <v>0</v>
      </c>
      <c r="T43" s="57">
        <f t="shared" si="18"/>
        <v>0</v>
      </c>
      <c r="U43" s="58">
        <f t="shared" si="19"/>
        <v>0</v>
      </c>
      <c r="V43" s="55">
        <f t="shared" si="21"/>
        <v>0</v>
      </c>
      <c r="W43" s="60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0">
        <f>IF(C43&lt;&gt;"",X42+W43,0)</f>
        <v>0</v>
      </c>
      <c r="Y43" s="58">
        <f t="shared" si="22"/>
        <v>0</v>
      </c>
      <c r="AC43" s="23">
        <f t="shared" si="6"/>
        <v>0</v>
      </c>
      <c r="AD43" s="23">
        <f t="shared" si="7"/>
        <v>0</v>
      </c>
      <c r="AE43" s="23">
        <f t="shared" si="8"/>
        <v>0</v>
      </c>
      <c r="AF43" s="23">
        <f t="shared" si="9"/>
        <v>0</v>
      </c>
      <c r="AG43" s="11">
        <f t="shared" si="10"/>
        <v>44955</v>
      </c>
      <c r="AH43" s="12">
        <f t="shared" si="11"/>
        <v>1</v>
      </c>
    </row>
    <row r="44" spans="3:34" x14ac:dyDescent="0.3">
      <c r="C44" s="7">
        <f>IFERROR(IF(OR($AN$20=4,$AN$20=6,$AN$20=9,$AN$20=11,C45&lt;&gt;""),30,""),"")</f>
        <v>30</v>
      </c>
      <c r="D44" s="8" t="str">
        <f t="shared" si="4"/>
        <v>SEG</v>
      </c>
      <c r="E44" s="17"/>
      <c r="F44" s="33"/>
      <c r="G44" s="34"/>
      <c r="H44" s="34"/>
      <c r="I44" s="35"/>
      <c r="J44" s="55" t="str">
        <f t="shared" si="12"/>
        <v/>
      </c>
      <c r="K44" s="56" cm="1">
        <f t="array" ref="K44">IFERROR(Jornada(D44,$H$11),0)</f>
        <v>0.33333333333333331</v>
      </c>
      <c r="L44" s="56" t="str">
        <f t="shared" si="13"/>
        <v/>
      </c>
      <c r="M44" s="56" t="str" cm="1">
        <f t="array" ref="M44">IFERROR(IF(AND(F44&lt;&gt;"",G44&lt;&gt;"",H44&lt;&gt;"",I44&lt;&gt;""),Atraso(AC44:AF44,$AB$4:$AF$10,D44),""),"ERRO")</f>
        <v/>
      </c>
      <c r="N44" s="56" cm="1">
        <f t="array" ref="N44">IFERROR(IF(E44&lt;&gt;"fol",IF(AND(F44&lt;&gt;"",G44&lt;&gt;"",H44&lt;&gt;"",I44&lt;&gt;""),HorasExtras(AC44:AF44,$AB$4:$AF$10,D44),0),0),0)</f>
        <v>0</v>
      </c>
      <c r="O44" s="57">
        <f t="shared" si="14"/>
        <v>0</v>
      </c>
      <c r="P44" s="58">
        <f t="shared" si="15"/>
        <v>0</v>
      </c>
      <c r="Q44" s="59">
        <f>IFERROR(IF(C44&lt;&gt;"",(R44)*(60/52.5),0),"ERRO")</f>
        <v>0</v>
      </c>
      <c r="R44" s="57" cm="1">
        <f t="array" ref="R44">adicionalNoturnoCompleto(AC44,AD44,AE44,AF44)</f>
        <v>0</v>
      </c>
      <c r="S44" s="57">
        <f t="shared" si="17"/>
        <v>0</v>
      </c>
      <c r="T44" s="57">
        <f t="shared" si="18"/>
        <v>0</v>
      </c>
      <c r="U44" s="58">
        <f t="shared" si="19"/>
        <v>0</v>
      </c>
      <c r="V44" s="55">
        <f t="shared" si="21"/>
        <v>0</v>
      </c>
      <c r="W44" s="60">
        <f>IF(C44&lt;&gt;"",IF(OR(E44="foj",AND(F44&lt;&gt;"",G44&lt;&gt;"",H44&lt;&gt;"",I44&lt;&gt;"")),IF(AA44&gt;V44,(HOUR(AA44)+MINUTE(AA44)/60)-(HOUR(V44)+MINUTE(V44)/60),(-1)*(HOUR(AA44)+MINUTE(AA44)/60)-(HOUR(V44)+MINUTE(V44)/60)),0),0)</f>
        <v>0</v>
      </c>
      <c r="X44" s="60">
        <f>IF(C44&lt;&gt;"",X43+W44,0)</f>
        <v>0</v>
      </c>
      <c r="Y44" s="58">
        <f t="shared" si="22"/>
        <v>0</v>
      </c>
      <c r="AC44" s="23">
        <f t="shared" si="6"/>
        <v>0</v>
      </c>
      <c r="AD44" s="23">
        <f t="shared" si="7"/>
        <v>0</v>
      </c>
      <c r="AE44" s="23">
        <f t="shared" si="8"/>
        <v>0</v>
      </c>
      <c r="AF44" s="23">
        <f t="shared" si="9"/>
        <v>0</v>
      </c>
      <c r="AG44" s="11">
        <f t="shared" si="10"/>
        <v>44956</v>
      </c>
      <c r="AH44" s="12">
        <f t="shared" si="11"/>
        <v>2</v>
      </c>
    </row>
    <row r="45" spans="3:34" ht="15" thickBot="1" x14ac:dyDescent="0.35">
      <c r="C45" s="9">
        <f>IFERROR(IF(OR($AN$20=1,$AN$20=3,$AN$20=5,$AN$20=7,$AN$20=8,$AN$20=10,$AN$20=12),31,""),"")</f>
        <v>31</v>
      </c>
      <c r="D45" s="10" t="str">
        <f t="shared" si="4"/>
        <v>TER</v>
      </c>
      <c r="E45" s="18"/>
      <c r="F45" s="36"/>
      <c r="G45" s="37"/>
      <c r="H45" s="37"/>
      <c r="I45" s="38"/>
      <c r="J45" s="61" t="str">
        <f t="shared" si="12"/>
        <v/>
      </c>
      <c r="K45" s="62" cm="1">
        <f t="array" ref="K45">IFERROR(Jornada(D45,$H$11),0)</f>
        <v>0.33333333333333331</v>
      </c>
      <c r="L45" s="62" t="str">
        <f t="shared" si="13"/>
        <v/>
      </c>
      <c r="M45" s="62" t="str" cm="1">
        <f t="array" ref="M45">IFERROR(IF(AND(F45&lt;&gt;"",G45&lt;&gt;"",H45&lt;&gt;"",I45&lt;&gt;""),Atraso(AC45:AF45,$AB$4:$AF$10,D45),""),"ERRO")</f>
        <v/>
      </c>
      <c r="N45" s="62" cm="1">
        <f t="array" ref="N45">IFERROR(IF(E45&lt;&gt;"fol",IF(AND(F45&lt;&gt;"",G45&lt;&gt;"",H45&lt;&gt;"",I45&lt;&gt;""),HorasExtras(AC45:AF45,$AB$4:$AF$10,D45),0),0),0)</f>
        <v>0</v>
      </c>
      <c r="O45" s="63">
        <f t="shared" si="14"/>
        <v>0</v>
      </c>
      <c r="P45" s="64">
        <f t="shared" si="15"/>
        <v>0</v>
      </c>
      <c r="Q45" s="77">
        <f>IFERROR(IF(C45&lt;&gt;"",(R45)*(60/52.5),0),"ERRO")</f>
        <v>0</v>
      </c>
      <c r="R45" s="57" cm="1">
        <f t="array" ref="R45">adicionalNoturnoCompleto(AC45,AD45,AE45,AF45)</f>
        <v>0</v>
      </c>
      <c r="S45" s="78">
        <f t="shared" si="17"/>
        <v>0</v>
      </c>
      <c r="T45" s="63">
        <f t="shared" si="18"/>
        <v>0</v>
      </c>
      <c r="U45" s="64">
        <f t="shared" si="19"/>
        <v>0</v>
      </c>
      <c r="V45" s="61">
        <f t="shared" si="21"/>
        <v>0</v>
      </c>
      <c r="W45" s="65">
        <f>IF(C45&lt;&gt;"",IF(OR(E45="foj",AND(F45&lt;&gt;"",G45&lt;&gt;"",H45&lt;&gt;"",I45&lt;&gt;"")),IF(AA45&gt;V45,(HOUR(AA45)+MINUTE(AA45)/60)-(HOUR(V45)+MINUTE(V45)/60),(-1)*(HOUR(AA45)+MINUTE(AA45)/60)-(HOUR(V45)+MINUTE(V45)/60)),0),0)</f>
        <v>0</v>
      </c>
      <c r="X45" s="65">
        <f>IF(C45&lt;&gt;"",X44+W45,0)</f>
        <v>0</v>
      </c>
      <c r="Y45" s="64">
        <f t="shared" si="22"/>
        <v>0</v>
      </c>
      <c r="AC45" s="23">
        <f t="shared" si="6"/>
        <v>0</v>
      </c>
      <c r="AD45" s="23">
        <f t="shared" si="7"/>
        <v>0</v>
      </c>
      <c r="AE45" s="23">
        <f t="shared" si="8"/>
        <v>0</v>
      </c>
      <c r="AF45" s="23">
        <f t="shared" si="9"/>
        <v>0</v>
      </c>
      <c r="AG45" s="11">
        <f t="shared" si="10"/>
        <v>44957</v>
      </c>
      <c r="AH45" s="12">
        <f t="shared" si="11"/>
        <v>3</v>
      </c>
    </row>
    <row r="46" spans="3:34" ht="19.5" customHeight="1" thickBot="1" x14ac:dyDescent="0.35">
      <c r="J46" s="14"/>
      <c r="N46" s="46" t="s">
        <v>36</v>
      </c>
      <c r="O46" s="42">
        <f>IFERROR(SUM($O$15:$O$45),0)</f>
        <v>0</v>
      </c>
      <c r="P46" s="41">
        <f>IFERROR(SUM($P$15:$P$45),0)</f>
        <v>0</v>
      </c>
      <c r="Q46" s="41">
        <f>IFERROR(SUM($Q$15:$Q$45),0)</f>
        <v>0</v>
      </c>
      <c r="R46" s="43"/>
      <c r="S46" s="43"/>
      <c r="T46" s="41">
        <f>IFERROR(SUM($T$15:$T$45),0)</f>
        <v>0</v>
      </c>
      <c r="U46" s="41">
        <f>IFERROR(SUM($U$15:$U$45),0)</f>
        <v>0</v>
      </c>
      <c r="W46" s="13"/>
    </row>
    <row r="47" spans="3:34" ht="19.5" customHeight="1" thickBot="1" x14ac:dyDescent="0.35"/>
    <row r="48" spans="3:34" ht="19.5" customHeight="1" thickBot="1" x14ac:dyDescent="0.35">
      <c r="N48" s="100" t="s">
        <v>39</v>
      </c>
      <c r="O48" s="101"/>
      <c r="P48" s="44">
        <f>IFERROR(SUM(N15:N45),0)</f>
        <v>0</v>
      </c>
      <c r="T48" s="105" t="s">
        <v>42</v>
      </c>
      <c r="U48" s="106"/>
      <c r="V48" s="44">
        <f>IFERROR(SUMIF($E$15:$E$45,"fet",$AA$15:$AA$45)+SUMIF($E$15:$E$45,"dot",$AA$15:$AA$45),0)</f>
        <v>0</v>
      </c>
    </row>
    <row r="49" spans="6:26" ht="19.5" customHeight="1" thickBot="1" x14ac:dyDescent="0.35">
      <c r="N49" s="100" t="s">
        <v>41</v>
      </c>
      <c r="O49" s="101"/>
      <c r="P49" s="44">
        <f>IFERROR(SUMIF($E$15:$E$45,$AK$15,$K$15:$K$45),0)</f>
        <v>0</v>
      </c>
      <c r="U49" s="47" t="str">
        <f>IFERROR(IF($H$11="J 8:48","ATÉ 1:12H","ATÉ 2H"),"ERRO")</f>
        <v>ATÉ 2H</v>
      </c>
      <c r="V49" s="45">
        <f>IFERROR(SUMIF($E$15:$E$45,"fet",$O$15:$O$45)+SUMIF($E$15:$E$45,"dot",$O$15:$O$45),0)</f>
        <v>0</v>
      </c>
    </row>
    <row r="50" spans="6:26" ht="19.5" customHeight="1" thickBot="1" x14ac:dyDescent="0.35">
      <c r="F50" s="2"/>
      <c r="N50" s="100" t="s">
        <v>40</v>
      </c>
      <c r="O50" s="101"/>
      <c r="P50" s="44">
        <f>IFERROR(IF(SUM(N15:N45)&gt;P49,SUM(N15:N45)-P49,0),0)</f>
        <v>0</v>
      </c>
      <c r="U50" s="47" t="str">
        <f>IFERROR(IF($H$11="J 8:48","APÓS 1:12H","APÓS 2H"),"ERRO")</f>
        <v>APÓS 2H</v>
      </c>
      <c r="V50" s="45">
        <f>IFERROR(SUMIF($E$15:$E$45,"fet",$P$15:$P$45)+SUMIF($E$15:$E$45,"dot",$P$15:$P$45),0)</f>
        <v>0</v>
      </c>
    </row>
    <row r="51" spans="6:26" ht="19.5" customHeight="1" thickBot="1" x14ac:dyDescent="0.35">
      <c r="F51" s="2"/>
      <c r="O51" s="47" t="str">
        <f>IFERROR(IF($H$11="J 8:48","ATÉ 1:12H","ATÉ 2H"),"ERRO")</f>
        <v>ATÉ 2H</v>
      </c>
      <c r="P51" s="45">
        <f>IFERROR(IF($P$49&gt;$P$46,IF($O$46&gt;($P$49-$P$46),$O$46-($P$49-$P$46),0),$O$46),0)</f>
        <v>0</v>
      </c>
    </row>
    <row r="52" spans="6:26" ht="19.5" customHeight="1" thickBot="1" x14ac:dyDescent="0.35">
      <c r="F52" s="2"/>
      <c r="I52" s="1"/>
      <c r="O52" s="48" t="str">
        <f>IFERROR(IF($H$11="J 8:48","APÓS 1:12H","APÓS 2H"),"ERRO")</f>
        <v>APÓS 2H</v>
      </c>
      <c r="P52" s="45">
        <f>IFERROR(IF($P$46&gt;$P$49,$P$46-$P$49,0),0)</f>
        <v>0</v>
      </c>
      <c r="Y52" s="2"/>
      <c r="Z52" s="2"/>
    </row>
    <row r="53" spans="6:26" x14ac:dyDescent="0.3">
      <c r="V53" s="2"/>
      <c r="W53" s="2"/>
    </row>
    <row r="54" spans="6:26" ht="15.75" customHeight="1" thickBot="1" x14ac:dyDescent="0.35"/>
    <row r="55" spans="6:26" ht="23.25" customHeight="1" x14ac:dyDescent="0.3">
      <c r="K55" s="132" t="s">
        <v>0</v>
      </c>
      <c r="L55" s="133"/>
      <c r="M55" s="134"/>
      <c r="N55" s="135"/>
      <c r="O55" s="135"/>
      <c r="P55" s="135"/>
      <c r="Q55" s="135"/>
      <c r="R55" s="135"/>
      <c r="S55" s="135"/>
      <c r="T55" s="135"/>
      <c r="U55" s="136"/>
    </row>
    <row r="56" spans="6:26" ht="23.25" customHeight="1" x14ac:dyDescent="0.3">
      <c r="K56" s="122" t="s">
        <v>1</v>
      </c>
      <c r="L56" s="123"/>
      <c r="M56" s="129"/>
      <c r="N56" s="130"/>
      <c r="O56" s="130"/>
      <c r="P56" s="130"/>
      <c r="Q56" s="130"/>
      <c r="R56" s="130"/>
      <c r="S56" s="130"/>
      <c r="T56" s="130"/>
      <c r="U56" s="131"/>
    </row>
    <row r="57" spans="6:26" ht="23.25" customHeight="1" x14ac:dyDescent="0.3">
      <c r="K57" s="122" t="s">
        <v>2</v>
      </c>
      <c r="L57" s="123"/>
      <c r="M57" s="129"/>
      <c r="N57" s="130"/>
      <c r="O57" s="130"/>
      <c r="P57" s="130"/>
      <c r="Q57" s="130"/>
      <c r="R57" s="130"/>
      <c r="S57" s="130"/>
      <c r="T57" s="130"/>
      <c r="U57" s="131"/>
    </row>
    <row r="58" spans="6:26" ht="23.25" customHeight="1" x14ac:dyDescent="0.3">
      <c r="K58" s="122" t="s">
        <v>3</v>
      </c>
      <c r="L58" s="123"/>
      <c r="M58" s="129"/>
      <c r="N58" s="130"/>
      <c r="O58" s="130"/>
      <c r="P58" s="130"/>
      <c r="Q58" s="130"/>
      <c r="R58" s="130"/>
      <c r="S58" s="130"/>
      <c r="T58" s="130"/>
      <c r="U58" s="131"/>
    </row>
    <row r="59" spans="6:26" ht="23.25" customHeight="1" x14ac:dyDescent="0.3">
      <c r="K59" s="122" t="s">
        <v>4</v>
      </c>
      <c r="L59" s="123"/>
      <c r="M59" s="129"/>
      <c r="N59" s="130"/>
      <c r="O59" s="130"/>
      <c r="P59" s="130"/>
      <c r="Q59" s="130"/>
      <c r="R59" s="130"/>
      <c r="S59" s="130"/>
      <c r="T59" s="130"/>
      <c r="U59" s="131"/>
    </row>
    <row r="60" spans="6:26" ht="23.25" customHeight="1" thickBot="1" x14ac:dyDescent="0.35">
      <c r="K60" s="124" t="s">
        <v>5</v>
      </c>
      <c r="L60" s="125" t="s">
        <v>5</v>
      </c>
      <c r="M60" s="126"/>
      <c r="N60" s="127"/>
      <c r="O60" s="127"/>
      <c r="P60" s="127"/>
      <c r="Q60" s="127"/>
      <c r="R60" s="127"/>
      <c r="S60" s="127"/>
      <c r="T60" s="127"/>
      <c r="U60" s="128"/>
    </row>
    <row r="61" spans="6:26" ht="16.5" customHeight="1" x14ac:dyDescent="0.3"/>
  </sheetData>
  <mergeCells count="40">
    <mergeCell ref="G1:H1"/>
    <mergeCell ref="K59:L59"/>
    <mergeCell ref="K60:L60"/>
    <mergeCell ref="M60:U60"/>
    <mergeCell ref="M59:U59"/>
    <mergeCell ref="M58:U58"/>
    <mergeCell ref="K55:L55"/>
    <mergeCell ref="K56:L56"/>
    <mergeCell ref="K57:L57"/>
    <mergeCell ref="K58:L58"/>
    <mergeCell ref="M12:M14"/>
    <mergeCell ref="M57:U57"/>
    <mergeCell ref="M56:U56"/>
    <mergeCell ref="M55:U55"/>
    <mergeCell ref="N48:O48"/>
    <mergeCell ref="N49:O49"/>
    <mergeCell ref="N50:O50"/>
    <mergeCell ref="C11:D11"/>
    <mergeCell ref="L10:N10"/>
    <mergeCell ref="T48:U48"/>
    <mergeCell ref="P12:P14"/>
    <mergeCell ref="O12:O14"/>
    <mergeCell ref="F11:G11"/>
    <mergeCell ref="E12:E14"/>
    <mergeCell ref="D12:D14"/>
    <mergeCell ref="C12:C14"/>
    <mergeCell ref="F12:I13"/>
    <mergeCell ref="S12:S14"/>
    <mergeCell ref="K12:K14"/>
    <mergeCell ref="J12:J14"/>
    <mergeCell ref="L12:L14"/>
    <mergeCell ref="N12:N14"/>
    <mergeCell ref="W12:W14"/>
    <mergeCell ref="V12:V14"/>
    <mergeCell ref="R12:R14"/>
    <mergeCell ref="Q12:Q14"/>
    <mergeCell ref="Y12:Y14"/>
    <mergeCell ref="X12:X13"/>
    <mergeCell ref="U12:U14"/>
    <mergeCell ref="T12:T14"/>
  </mergeCells>
  <conditionalFormatting sqref="X15:X45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5:O45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5:W45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4:Q44 S44:Y44">
    <cfRule type="expression" dxfId="69" priority="72">
      <formula>$C$44=""</formula>
    </cfRule>
  </conditionalFormatting>
  <conditionalFormatting sqref="C45:Q45 S45:Y45">
    <cfRule type="expression" dxfId="68" priority="71">
      <formula>$C$45=""</formula>
    </cfRule>
  </conditionalFormatting>
  <conditionalFormatting sqref="C43:Q43 S43:Y43">
    <cfRule type="expression" dxfId="67" priority="68">
      <formula>$C$43=""</formula>
    </cfRule>
  </conditionalFormatting>
  <conditionalFormatting sqref="E15:E45">
    <cfRule type="expression" dxfId="66" priority="73">
      <formula>IF(OR($E15="fet",$E15="dot"),1,0)</formula>
    </cfRule>
  </conditionalFormatting>
  <conditionalFormatting sqref="E44:I44">
    <cfRule type="expression" dxfId="65" priority="67">
      <formula>$C$44=""</formula>
    </cfRule>
  </conditionalFormatting>
  <conditionalFormatting sqref="E45:I45">
    <cfRule type="expression" dxfId="64" priority="66">
      <formula>$C$45=""</formula>
    </cfRule>
  </conditionalFormatting>
  <conditionalFormatting sqref="E43:I43">
    <cfRule type="expression" dxfId="63" priority="65">
      <formula>$C$43=""</formula>
    </cfRule>
  </conditionalFormatting>
  <conditionalFormatting sqref="E44:I44">
    <cfRule type="expression" dxfId="62" priority="64">
      <formula>$C$44=""</formula>
    </cfRule>
  </conditionalFormatting>
  <conditionalFormatting sqref="E45:I45">
    <cfRule type="expression" dxfId="61" priority="63">
      <formula>$C$45=""</formula>
    </cfRule>
  </conditionalFormatting>
  <conditionalFormatting sqref="E43:I43">
    <cfRule type="expression" dxfId="60" priority="62">
      <formula>$C$43=""</formula>
    </cfRule>
  </conditionalFormatting>
  <conditionalFormatting sqref="E44:I44">
    <cfRule type="expression" dxfId="59" priority="61">
      <formula>$C$44=""</formula>
    </cfRule>
  </conditionalFormatting>
  <conditionalFormatting sqref="E45:I45">
    <cfRule type="expression" dxfId="58" priority="60">
      <formula>$C$45=""</formula>
    </cfRule>
  </conditionalFormatting>
  <conditionalFormatting sqref="E43:I43">
    <cfRule type="expression" dxfId="57" priority="59">
      <formula>$C$43=""</formula>
    </cfRule>
  </conditionalFormatting>
  <conditionalFormatting sqref="E44:I44">
    <cfRule type="expression" dxfId="56" priority="58">
      <formula>$C$44=""</formula>
    </cfRule>
  </conditionalFormatting>
  <conditionalFormatting sqref="E45:I45">
    <cfRule type="expression" dxfId="55" priority="57">
      <formula>$C$45=""</formula>
    </cfRule>
  </conditionalFormatting>
  <conditionalFormatting sqref="E43:I43">
    <cfRule type="expression" dxfId="54" priority="56">
      <formula>$C$43=""</formula>
    </cfRule>
  </conditionalFormatting>
  <conditionalFormatting sqref="E44:I44">
    <cfRule type="expression" dxfId="53" priority="55">
      <formula>$C$44=""</formula>
    </cfRule>
  </conditionalFormatting>
  <conditionalFormatting sqref="E45:I45">
    <cfRule type="expression" dxfId="52" priority="54">
      <formula>$C$45=""</formula>
    </cfRule>
  </conditionalFormatting>
  <conditionalFormatting sqref="E43:I43">
    <cfRule type="expression" dxfId="51" priority="53">
      <formula>$C$43=""</formula>
    </cfRule>
  </conditionalFormatting>
  <conditionalFormatting sqref="E44:I44">
    <cfRule type="expression" dxfId="50" priority="52">
      <formula>$C$44=""</formula>
    </cfRule>
  </conditionalFormatting>
  <conditionalFormatting sqref="E45:I45">
    <cfRule type="expression" dxfId="49" priority="51">
      <formula>$C$45=""</formula>
    </cfRule>
  </conditionalFormatting>
  <conditionalFormatting sqref="E43:I43">
    <cfRule type="expression" dxfId="48" priority="50">
      <formula>$C$43=""</formula>
    </cfRule>
  </conditionalFormatting>
  <conditionalFormatting sqref="E44:I44">
    <cfRule type="expression" dxfId="47" priority="49">
      <formula>$C$44=""</formula>
    </cfRule>
  </conditionalFormatting>
  <conditionalFormatting sqref="E45:I45">
    <cfRule type="expression" dxfId="46" priority="48">
      <formula>$C$45=""</formula>
    </cfRule>
  </conditionalFormatting>
  <conditionalFormatting sqref="E43:I43">
    <cfRule type="expression" dxfId="45" priority="47">
      <formula>$C$43=""</formula>
    </cfRule>
  </conditionalFormatting>
  <conditionalFormatting sqref="E44:I44">
    <cfRule type="expression" dxfId="44" priority="46">
      <formula>$C$44=""</formula>
    </cfRule>
  </conditionalFormatting>
  <conditionalFormatting sqref="E45:I45">
    <cfRule type="expression" dxfId="43" priority="45">
      <formula>$C$45=""</formula>
    </cfRule>
  </conditionalFormatting>
  <conditionalFormatting sqref="E43:I43">
    <cfRule type="expression" dxfId="42" priority="44">
      <formula>$C$43=""</formula>
    </cfRule>
  </conditionalFormatting>
  <conditionalFormatting sqref="E44:I44">
    <cfRule type="expression" dxfId="41" priority="43">
      <formula>$C$44=""</formula>
    </cfRule>
  </conditionalFormatting>
  <conditionalFormatting sqref="E45:I45">
    <cfRule type="expression" dxfId="40" priority="42">
      <formula>$C$45=""</formula>
    </cfRule>
  </conditionalFormatting>
  <conditionalFormatting sqref="E43:I43">
    <cfRule type="expression" dxfId="39" priority="41">
      <formula>$C$43=""</formula>
    </cfRule>
  </conditionalFormatting>
  <conditionalFormatting sqref="E44:I44">
    <cfRule type="expression" dxfId="38" priority="40">
      <formula>$C$44=""</formula>
    </cfRule>
  </conditionalFormatting>
  <conditionalFormatting sqref="E45:I45">
    <cfRule type="expression" dxfId="37" priority="39">
      <formula>$C$45=""</formula>
    </cfRule>
  </conditionalFormatting>
  <conditionalFormatting sqref="E43:I43">
    <cfRule type="expression" dxfId="36" priority="38">
      <formula>$C$43=""</formula>
    </cfRule>
  </conditionalFormatting>
  <conditionalFormatting sqref="E44:I44">
    <cfRule type="expression" dxfId="35" priority="37">
      <formula>$C$44=""</formula>
    </cfRule>
  </conditionalFormatting>
  <conditionalFormatting sqref="E45:I45">
    <cfRule type="expression" dxfId="34" priority="36">
      <formula>$C$45=""</formula>
    </cfRule>
  </conditionalFormatting>
  <conditionalFormatting sqref="E43:I43">
    <cfRule type="expression" dxfId="33" priority="35">
      <formula>$C$43=""</formula>
    </cfRule>
  </conditionalFormatting>
  <conditionalFormatting sqref="E44:I44">
    <cfRule type="expression" dxfId="32" priority="34">
      <formula>$C$44=""</formula>
    </cfRule>
  </conditionalFormatting>
  <conditionalFormatting sqref="E45:I45">
    <cfRule type="expression" dxfId="31" priority="33">
      <formula>$C$45=""</formula>
    </cfRule>
  </conditionalFormatting>
  <conditionalFormatting sqref="E43:I43">
    <cfRule type="expression" dxfId="30" priority="32">
      <formula>$C$43=""</formula>
    </cfRule>
  </conditionalFormatting>
  <conditionalFormatting sqref="E44:I44">
    <cfRule type="expression" dxfId="29" priority="31">
      <formula>$C$44=""</formula>
    </cfRule>
  </conditionalFormatting>
  <conditionalFormatting sqref="E45:I45">
    <cfRule type="expression" dxfId="28" priority="30">
      <formula>$C$45=""</formula>
    </cfRule>
  </conditionalFormatting>
  <conditionalFormatting sqref="E43:I43">
    <cfRule type="expression" dxfId="27" priority="29">
      <formula>$C$43=""</formula>
    </cfRule>
  </conditionalFormatting>
  <conditionalFormatting sqref="E44:I44">
    <cfRule type="expression" dxfId="26" priority="28">
      <formula>$C$44=""</formula>
    </cfRule>
  </conditionalFormatting>
  <conditionalFormatting sqref="E45:I45">
    <cfRule type="expression" dxfId="25" priority="27">
      <formula>$C$45=""</formula>
    </cfRule>
  </conditionalFormatting>
  <conditionalFormatting sqref="E43:I43">
    <cfRule type="expression" dxfId="24" priority="26">
      <formula>$C$43=""</formula>
    </cfRule>
  </conditionalFormatting>
  <conditionalFormatting sqref="E44:I44">
    <cfRule type="expression" dxfId="23" priority="25">
      <formula>$C$44=""</formula>
    </cfRule>
  </conditionalFormatting>
  <conditionalFormatting sqref="E45:I45">
    <cfRule type="expression" dxfId="22" priority="24">
      <formula>$C$45=""</formula>
    </cfRule>
  </conditionalFormatting>
  <conditionalFormatting sqref="E43:I43">
    <cfRule type="expression" dxfId="21" priority="23">
      <formula>$C$43=""</formula>
    </cfRule>
  </conditionalFormatting>
  <conditionalFormatting sqref="E44:I44">
    <cfRule type="expression" dxfId="20" priority="22">
      <formula>$C$44=""</formula>
    </cfRule>
  </conditionalFormatting>
  <conditionalFormatting sqref="E45:I45">
    <cfRule type="expression" dxfId="19" priority="21">
      <formula>$C$45=""</formula>
    </cfRule>
  </conditionalFormatting>
  <conditionalFormatting sqref="E43:I43">
    <cfRule type="expression" dxfId="18" priority="20">
      <formula>$C$43=""</formula>
    </cfRule>
  </conditionalFormatting>
  <conditionalFormatting sqref="E44:I44">
    <cfRule type="expression" dxfId="17" priority="19">
      <formula>$C$44=""</formula>
    </cfRule>
  </conditionalFormatting>
  <conditionalFormatting sqref="E45:I45">
    <cfRule type="expression" dxfId="16" priority="18">
      <formula>$C$45=""</formula>
    </cfRule>
  </conditionalFormatting>
  <conditionalFormatting sqref="E43:I43">
    <cfRule type="expression" dxfId="15" priority="17">
      <formula>$C$43=""</formula>
    </cfRule>
  </conditionalFormatting>
  <conditionalFormatting sqref="E44:I44">
    <cfRule type="expression" dxfId="14" priority="16">
      <formula>$C$44=""</formula>
    </cfRule>
  </conditionalFormatting>
  <conditionalFormatting sqref="E45:I45">
    <cfRule type="expression" dxfId="13" priority="15">
      <formula>$C$45=""</formula>
    </cfRule>
  </conditionalFormatting>
  <conditionalFormatting sqref="E43:I43">
    <cfRule type="expression" dxfId="12" priority="14">
      <formula>$C$43=""</formula>
    </cfRule>
  </conditionalFormatting>
  <conditionalFormatting sqref="E44:I44">
    <cfRule type="expression" dxfId="11" priority="13">
      <formula>$C$44=""</formula>
    </cfRule>
  </conditionalFormatting>
  <conditionalFormatting sqref="E45:I45">
    <cfRule type="expression" dxfId="10" priority="12">
      <formula>$C$45=""</formula>
    </cfRule>
  </conditionalFormatting>
  <conditionalFormatting sqref="E43:I43">
    <cfRule type="expression" dxfId="9" priority="11">
      <formula>$C$43=""</formula>
    </cfRule>
  </conditionalFormatting>
  <conditionalFormatting sqref="E44:I44">
    <cfRule type="expression" dxfId="8" priority="10">
      <formula>$C$44=""</formula>
    </cfRule>
  </conditionalFormatting>
  <conditionalFormatting sqref="E45:I45">
    <cfRule type="expression" dxfId="7" priority="9">
      <formula>$C$45=""</formula>
    </cfRule>
  </conditionalFormatting>
  <conditionalFormatting sqref="E43:I43">
    <cfRule type="expression" dxfId="6" priority="8">
      <formula>$C$43=""</formula>
    </cfRule>
  </conditionalFormatting>
  <conditionalFormatting sqref="E44:I44">
    <cfRule type="expression" dxfId="5" priority="7">
      <formula>$C$44=""</formula>
    </cfRule>
  </conditionalFormatting>
  <conditionalFormatting sqref="E45:I45">
    <cfRule type="expression" dxfId="4" priority="6">
      <formula>$C$45=""</formula>
    </cfRule>
  </conditionalFormatting>
  <conditionalFormatting sqref="E43:I43">
    <cfRule type="expression" dxfId="3" priority="5">
      <formula>$C$43=""</formula>
    </cfRule>
  </conditionalFormatting>
  <conditionalFormatting sqref="E44:I44">
    <cfRule type="expression" dxfId="2" priority="4">
      <formula>$C$44=""</formula>
    </cfRule>
  </conditionalFormatting>
  <conditionalFormatting sqref="E45:I45">
    <cfRule type="expression" dxfId="1" priority="3">
      <formula>$C$45=""</formula>
    </cfRule>
  </conditionalFormatting>
  <conditionalFormatting sqref="E43:I43">
    <cfRule type="expression" dxfId="0" priority="2">
      <formula>$C$43=""</formula>
    </cfRule>
  </conditionalFormatting>
  <dataValidations count="6">
    <dataValidation type="custom" allowBlank="1" showInputMessage="1" showErrorMessage="1" errorTitle="Erro!" error="Formato ou tipo de dado inválido." sqref="F15:I45" xr:uid="{00000000-0002-0000-0000-000000000000}">
      <formula1>AC15&lt;&gt;"ERRO"</formula1>
    </dataValidation>
    <dataValidation type="date" operator="greaterThanOrEqual" showInputMessage="1" showErrorMessage="1" errorTitle="Erro!" error="Data inválida." sqref="E11" xr:uid="{00000000-0002-0000-0000-000002000000}">
      <formula1>1</formula1>
    </dataValidation>
    <dataValidation type="time" operator="greaterThanOrEqual" showInputMessage="1" showErrorMessage="1" errorTitle="Erro!" error="Valor inválido." sqref="O10" xr:uid="{00000000-0002-0000-0000-000003000000}">
      <formula1>0</formula1>
    </dataValidation>
    <dataValidation type="time" operator="greaterThanOrEqual" allowBlank="1" showInputMessage="1" showErrorMessage="1" errorTitle="Erro!" error="Valor inválido." sqref="P10" xr:uid="{00000000-0002-0000-0000-000004000000}">
      <formula1>0</formula1>
    </dataValidation>
    <dataValidation type="list" allowBlank="1" showInputMessage="1" showErrorMessage="1" errorTitle="Erro!" error="Opção inválida." sqref="E15:E45" xr:uid="{00000000-0002-0000-0000-000005000000}">
      <formula1>$AK$15:$AK$18</formula1>
    </dataValidation>
    <dataValidation type="list" showInputMessage="1" showErrorMessage="1" errorTitle="Erro!" error="Opção inválida." sqref="H11" xr:uid="{00000000-0002-0000-0000-000001000000}">
      <formula1>$AJ$15:$AJ$20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9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2024-01-18T17:51:42Z</dcterms:modified>
</cp:coreProperties>
</file>