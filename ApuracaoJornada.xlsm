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a4b932492adae25/Personal/Esconaud - Excel/"/>
    </mc:Choice>
  </mc:AlternateContent>
  <xr:revisionPtr revIDLastSave="460" documentId="13_ncr:1_{EB2B5C4C-42D3-49E5-B241-1B7D4EBFB30E}" xr6:coauthVersionLast="47" xr6:coauthVersionMax="47" xr10:uidLastSave="{88A8A4A0-0B2F-4F0C-920A-697A4C39E76F}"/>
  <workbookProtection lockStructure="1"/>
  <bookViews>
    <workbookView xWindow="-108" yWindow="-108" windowWidth="23256" windowHeight="12456" xr2:uid="{00000000-000D-0000-FFFF-FFFF00000000}"/>
  </bookViews>
  <sheets>
    <sheet name="Apuração de Jornada" sheetId="1" r:id="rId1"/>
  </sheets>
  <functionGroups builtInGroupCount="19"/>
  <definedNames>
    <definedName name="_xlnm._FilterDatabase" localSheetId="0" hidden="1">'Apuração de Jornada'!$B$3:$Y$44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1" l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13" i="1"/>
  <c r="O10" i="1"/>
  <c r="AC19" i="1"/>
  <c r="U48" i="1"/>
  <c r="U47" i="1"/>
  <c r="O50" i="1"/>
  <c r="O49" i="1"/>
  <c r="R13" i="1" a="1"/>
  <c r="R43" i="1" a="1"/>
  <c r="R13" i="1" l="1"/>
  <c r="R43" i="1"/>
  <c r="P10" i="1"/>
  <c r="AN15" i="1" l="1"/>
  <c r="AC14" i="1" l="1"/>
  <c r="AD14" i="1" s="1"/>
  <c r="AC15" i="1"/>
  <c r="AD15" i="1" s="1"/>
  <c r="AC16" i="1"/>
  <c r="AD16" i="1" s="1"/>
  <c r="AC17" i="1"/>
  <c r="AD17" i="1" s="1"/>
  <c r="AC18" i="1"/>
  <c r="AD18" i="1" s="1"/>
  <c r="AD19" i="1"/>
  <c r="AC20" i="1"/>
  <c r="AD20" i="1" s="1"/>
  <c r="AC21" i="1"/>
  <c r="AD21" i="1" s="1"/>
  <c r="AC22" i="1"/>
  <c r="AD22" i="1" s="1"/>
  <c r="AC23" i="1"/>
  <c r="AD23" i="1" s="1"/>
  <c r="AC24" i="1"/>
  <c r="AD24" i="1" s="1"/>
  <c r="AC25" i="1"/>
  <c r="AD25" i="1" s="1"/>
  <c r="AC26" i="1"/>
  <c r="AD26" i="1" s="1"/>
  <c r="AC27" i="1"/>
  <c r="AD27" i="1" s="1"/>
  <c r="AC28" i="1"/>
  <c r="AD28" i="1" s="1"/>
  <c r="AC29" i="1"/>
  <c r="AD29" i="1" s="1"/>
  <c r="AC30" i="1"/>
  <c r="AD30" i="1" s="1"/>
  <c r="AC31" i="1"/>
  <c r="AD31" i="1" s="1"/>
  <c r="AC32" i="1"/>
  <c r="AD32" i="1" s="1"/>
  <c r="AC33" i="1"/>
  <c r="AD33" i="1" s="1"/>
  <c r="AC34" i="1"/>
  <c r="AD34" i="1" s="1"/>
  <c r="AC35" i="1"/>
  <c r="AD35" i="1" s="1"/>
  <c r="AC36" i="1"/>
  <c r="AD36" i="1" s="1"/>
  <c r="AC37" i="1"/>
  <c r="AD37" i="1" s="1"/>
  <c r="AC38" i="1"/>
  <c r="AD38" i="1" s="1"/>
  <c r="AC39" i="1"/>
  <c r="AD39" i="1" s="1"/>
  <c r="AC40" i="1"/>
  <c r="AD40" i="1" s="1"/>
  <c r="AC41" i="1"/>
  <c r="AD41" i="1" s="1"/>
  <c r="AC42" i="1"/>
  <c r="AC43" i="1"/>
  <c r="AD43" i="1" s="1"/>
  <c r="AE43" i="1" s="1"/>
  <c r="AF43" i="1" s="1"/>
  <c r="AC13" i="1"/>
  <c r="AP15" i="1"/>
  <c r="AO15" i="1"/>
  <c r="AP14" i="1"/>
  <c r="AO14" i="1"/>
  <c r="AN14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13" i="1"/>
  <c r="AH13" i="1" s="1"/>
  <c r="V13" i="1" l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AD13" i="1"/>
  <c r="AE36" i="1"/>
  <c r="AE28" i="1"/>
  <c r="AE20" i="1"/>
  <c r="AE40" i="1"/>
  <c r="AE32" i="1"/>
  <c r="AE24" i="1"/>
  <c r="AE39" i="1"/>
  <c r="L39" i="1" s="1"/>
  <c r="AE35" i="1"/>
  <c r="L35" i="1" s="1"/>
  <c r="AE31" i="1"/>
  <c r="L31" i="1" s="1"/>
  <c r="AE27" i="1"/>
  <c r="L27" i="1" s="1"/>
  <c r="AE23" i="1"/>
  <c r="L23" i="1" s="1"/>
  <c r="AE19" i="1"/>
  <c r="L19" i="1" s="1"/>
  <c r="AE38" i="1"/>
  <c r="AE34" i="1"/>
  <c r="AE26" i="1"/>
  <c r="AE22" i="1"/>
  <c r="AE41" i="1"/>
  <c r="AE37" i="1"/>
  <c r="AE33" i="1"/>
  <c r="AE29" i="1"/>
  <c r="AE25" i="1"/>
  <c r="AE21" i="1"/>
  <c r="AE17" i="1"/>
  <c r="AE18" i="1"/>
  <c r="AE30" i="1"/>
  <c r="AE14" i="1"/>
  <c r="AE15" i="1"/>
  <c r="AE16" i="1"/>
  <c r="AD42" i="1"/>
  <c r="AF39" i="1"/>
  <c r="AF35" i="1"/>
  <c r="AF27" i="1"/>
  <c r="AH32" i="1"/>
  <c r="AH20" i="1"/>
  <c r="AH39" i="1"/>
  <c r="AH40" i="1"/>
  <c r="AH28" i="1"/>
  <c r="AH24" i="1"/>
  <c r="AH38" i="1"/>
  <c r="AH34" i="1"/>
  <c r="AH30" i="1"/>
  <c r="AH26" i="1"/>
  <c r="AH22" i="1"/>
  <c r="AH18" i="1"/>
  <c r="AH14" i="1"/>
  <c r="AH36" i="1"/>
  <c r="AH35" i="1"/>
  <c r="AH16" i="1"/>
  <c r="AH31" i="1"/>
  <c r="AH27" i="1"/>
  <c r="AH23" i="1"/>
  <c r="AH19" i="1"/>
  <c r="AH15" i="1"/>
  <c r="AH37" i="1"/>
  <c r="AH33" i="1"/>
  <c r="AH29" i="1"/>
  <c r="AH25" i="1"/>
  <c r="AH21" i="1"/>
  <c r="AH17" i="1"/>
  <c r="R35" i="1" a="1"/>
  <c r="R27" i="1" a="1"/>
  <c r="R39" i="1" a="1"/>
  <c r="R39" i="1" l="1"/>
  <c r="R27" i="1"/>
  <c r="R35" i="1"/>
  <c r="Q35" i="1" s="1"/>
  <c r="Q27" i="1"/>
  <c r="S27" i="1" s="1"/>
  <c r="AE13" i="1"/>
  <c r="L13" i="1" s="1"/>
  <c r="AF19" i="1"/>
  <c r="AF31" i="1"/>
  <c r="J39" i="1"/>
  <c r="Q39" i="1"/>
  <c r="S39" i="1" s="1"/>
  <c r="J27" i="1"/>
  <c r="AF23" i="1"/>
  <c r="J35" i="1"/>
  <c r="AF25" i="1"/>
  <c r="L25" i="1"/>
  <c r="AF33" i="1"/>
  <c r="L33" i="1"/>
  <c r="AF41" i="1"/>
  <c r="AF26" i="1"/>
  <c r="L26" i="1"/>
  <c r="AF38" i="1"/>
  <c r="L38" i="1"/>
  <c r="AF32" i="1"/>
  <c r="L32" i="1"/>
  <c r="AF20" i="1"/>
  <c r="L20" i="1"/>
  <c r="AF36" i="1"/>
  <c r="L36" i="1"/>
  <c r="AF17" i="1"/>
  <c r="L17" i="1"/>
  <c r="AF21" i="1"/>
  <c r="L21" i="1"/>
  <c r="AF29" i="1"/>
  <c r="L29" i="1"/>
  <c r="AF37" i="1"/>
  <c r="L37" i="1"/>
  <c r="AF22" i="1"/>
  <c r="L22" i="1"/>
  <c r="AF34" i="1"/>
  <c r="L34" i="1"/>
  <c r="AF24" i="1"/>
  <c r="L24" i="1"/>
  <c r="AF40" i="1"/>
  <c r="L40" i="1"/>
  <c r="AF28" i="1"/>
  <c r="L28" i="1"/>
  <c r="AF18" i="1"/>
  <c r="L18" i="1"/>
  <c r="AF30" i="1"/>
  <c r="L30" i="1"/>
  <c r="AF14" i="1"/>
  <c r="L14" i="1"/>
  <c r="AF15" i="1"/>
  <c r="L15" i="1"/>
  <c r="AF16" i="1"/>
  <c r="L16" i="1"/>
  <c r="AE42" i="1"/>
  <c r="R41" i="1" a="1"/>
  <c r="R30" i="1" a="1"/>
  <c r="R37" i="1" a="1"/>
  <c r="R33" i="1" a="1"/>
  <c r="R38" i="1" a="1"/>
  <c r="R15" i="1" a="1"/>
  <c r="R34" i="1" a="1"/>
  <c r="R20" i="1" a="1"/>
  <c r="R40" i="1" a="1"/>
  <c r="R17" i="1" a="1"/>
  <c r="R19" i="1" a="1"/>
  <c r="R18" i="1" a="1"/>
  <c r="R29" i="1" a="1"/>
  <c r="R14" i="1" a="1"/>
  <c r="R25" i="1" a="1"/>
  <c r="R22" i="1" a="1"/>
  <c r="R32" i="1" a="1"/>
  <c r="R16" i="1" a="1"/>
  <c r="R24" i="1" a="1"/>
  <c r="R36" i="1" a="1"/>
  <c r="R31" i="1" a="1"/>
  <c r="R28" i="1" a="1"/>
  <c r="R21" i="1" a="1"/>
  <c r="R23" i="1" a="1"/>
  <c r="R26" i="1" a="1"/>
  <c r="T27" i="1" l="1"/>
  <c r="U27" i="1"/>
  <c r="T39" i="1"/>
  <c r="U39" i="1"/>
  <c r="R41" i="1"/>
  <c r="S35" i="1"/>
  <c r="R33" i="1"/>
  <c r="Q33" i="1" s="1"/>
  <c r="R23" i="1"/>
  <c r="Q23" i="1" s="1"/>
  <c r="R31" i="1"/>
  <c r="R16" i="1"/>
  <c r="Q16" i="1" s="1"/>
  <c r="R14" i="1"/>
  <c r="Q14" i="1" s="1"/>
  <c r="R18" i="1"/>
  <c r="Q18" i="1" s="1"/>
  <c r="R40" i="1"/>
  <c r="Q40" i="1" s="1"/>
  <c r="S40" i="1" s="1"/>
  <c r="R34" i="1"/>
  <c r="Q34" i="1" s="1"/>
  <c r="S34" i="1" s="1"/>
  <c r="R37" i="1"/>
  <c r="Q37" i="1" s="1"/>
  <c r="R21" i="1"/>
  <c r="Q21" i="1" s="1"/>
  <c r="R36" i="1"/>
  <c r="R32" i="1"/>
  <c r="Q32" i="1" s="1"/>
  <c r="R26" i="1"/>
  <c r="Q26" i="1" s="1"/>
  <c r="R19" i="1"/>
  <c r="Q19" i="1" s="1"/>
  <c r="R25" i="1"/>
  <c r="R15" i="1"/>
  <c r="R30" i="1"/>
  <c r="Q30" i="1" s="1"/>
  <c r="R28" i="1"/>
  <c r="Q28" i="1" s="1"/>
  <c r="S28" i="1" s="1"/>
  <c r="R24" i="1"/>
  <c r="Q24" i="1" s="1"/>
  <c r="S24" i="1" s="1"/>
  <c r="R22" i="1"/>
  <c r="R29" i="1"/>
  <c r="Q29" i="1" s="1"/>
  <c r="R17" i="1"/>
  <c r="R20" i="1"/>
  <c r="Q20" i="1" s="1"/>
  <c r="S20" i="1" s="1"/>
  <c r="R38" i="1"/>
  <c r="Q38" i="1" s="1"/>
  <c r="J31" i="1"/>
  <c r="Q17" i="1"/>
  <c r="S17" i="1" s="1"/>
  <c r="AF13" i="1"/>
  <c r="J19" i="1"/>
  <c r="Q31" i="1"/>
  <c r="J30" i="1"/>
  <c r="J33" i="1"/>
  <c r="J23" i="1"/>
  <c r="J18" i="1"/>
  <c r="J40" i="1"/>
  <c r="J37" i="1"/>
  <c r="J21" i="1"/>
  <c r="J36" i="1"/>
  <c r="Q36" i="1"/>
  <c r="J26" i="1"/>
  <c r="J15" i="1"/>
  <c r="Q15" i="1"/>
  <c r="J28" i="1"/>
  <c r="J22" i="1"/>
  <c r="Q22" i="1"/>
  <c r="J29" i="1"/>
  <c r="J25" i="1"/>
  <c r="Q25" i="1"/>
  <c r="J14" i="1"/>
  <c r="J20" i="1"/>
  <c r="J38" i="1"/>
  <c r="J17" i="1"/>
  <c r="J32" i="1"/>
  <c r="J34" i="1"/>
  <c r="J24" i="1"/>
  <c r="J16" i="1"/>
  <c r="AF42" i="1"/>
  <c r="R42" i="1" a="1"/>
  <c r="U17" i="1" l="1"/>
  <c r="T17" i="1"/>
  <c r="T34" i="1"/>
  <c r="U34" i="1"/>
  <c r="T35" i="1"/>
  <c r="U35" i="1"/>
  <c r="U28" i="1"/>
  <c r="T28" i="1"/>
  <c r="T20" i="1"/>
  <c r="U20" i="1"/>
  <c r="T40" i="1"/>
  <c r="U40" i="1"/>
  <c r="T24" i="1"/>
  <c r="U24" i="1"/>
  <c r="S38" i="1"/>
  <c r="S19" i="1"/>
  <c r="S21" i="1"/>
  <c r="S18" i="1"/>
  <c r="S23" i="1"/>
  <c r="S14" i="1"/>
  <c r="S29" i="1"/>
  <c r="S26" i="1"/>
  <c r="S30" i="1"/>
  <c r="S32" i="1"/>
  <c r="S16" i="1"/>
  <c r="S25" i="1"/>
  <c r="S22" i="1"/>
  <c r="S15" i="1"/>
  <c r="S36" i="1"/>
  <c r="S37" i="1"/>
  <c r="S33" i="1"/>
  <c r="S31" i="1"/>
  <c r="R42" i="1"/>
  <c r="Q13" i="1"/>
  <c r="S13" i="1" s="1"/>
  <c r="J13" i="1"/>
  <c r="U22" i="1" l="1"/>
  <c r="T22" i="1"/>
  <c r="T14" i="1"/>
  <c r="U14" i="1"/>
  <c r="U37" i="1"/>
  <c r="T37" i="1"/>
  <c r="U25" i="1"/>
  <c r="T25" i="1"/>
  <c r="U30" i="1"/>
  <c r="T30" i="1"/>
  <c r="T23" i="1"/>
  <c r="U23" i="1"/>
  <c r="U38" i="1"/>
  <c r="T38" i="1"/>
  <c r="T19" i="1"/>
  <c r="U19" i="1"/>
  <c r="U36" i="1"/>
  <c r="T36" i="1"/>
  <c r="T26" i="1"/>
  <c r="U26" i="1"/>
  <c r="T18" i="1"/>
  <c r="U18" i="1"/>
  <c r="U33" i="1"/>
  <c r="T33" i="1"/>
  <c r="T31" i="1"/>
  <c r="U31" i="1"/>
  <c r="U15" i="1"/>
  <c r="T15" i="1"/>
  <c r="T32" i="1"/>
  <c r="U32" i="1"/>
  <c r="U29" i="1"/>
  <c r="T29" i="1"/>
  <c r="U21" i="1"/>
  <c r="T21" i="1"/>
  <c r="U16" i="1"/>
  <c r="T16" i="1"/>
  <c r="U13" i="1"/>
  <c r="T13" i="1"/>
  <c r="AO18" i="1"/>
  <c r="AP18" i="1" s="1"/>
  <c r="AN18" i="1"/>
  <c r="AM18" i="1"/>
  <c r="C43" i="1" l="1"/>
  <c r="D26" i="1"/>
  <c r="D15" i="1"/>
  <c r="D17" i="1"/>
  <c r="D19" i="1"/>
  <c r="D21" i="1"/>
  <c r="D23" i="1"/>
  <c r="D25" i="1"/>
  <c r="D27" i="1"/>
  <c r="K27" i="1" s="1"/>
  <c r="N27" i="1" s="1"/>
  <c r="D29" i="1"/>
  <c r="D31" i="1"/>
  <c r="D33" i="1"/>
  <c r="D35" i="1"/>
  <c r="D37" i="1"/>
  <c r="D39" i="1"/>
  <c r="D40" i="1"/>
  <c r="D22" i="1"/>
  <c r="D30" i="1"/>
  <c r="D34" i="1"/>
  <c r="D13" i="1"/>
  <c r="D18" i="1"/>
  <c r="D38" i="1"/>
  <c r="D16" i="1"/>
  <c r="D20" i="1"/>
  <c r="D24" i="1"/>
  <c r="D28" i="1"/>
  <c r="D32" i="1"/>
  <c r="D36" i="1"/>
  <c r="D14" i="1"/>
  <c r="K14" i="1" s="1"/>
  <c r="N14" i="1" s="1"/>
  <c r="C42" i="1" l="1"/>
  <c r="O27" i="1"/>
  <c r="P27" i="1"/>
  <c r="P14" i="1"/>
  <c r="O14" i="1"/>
  <c r="K16" i="1"/>
  <c r="N16" i="1" s="1"/>
  <c r="K31" i="1"/>
  <c r="N31" i="1" s="1"/>
  <c r="K15" i="1"/>
  <c r="K36" i="1"/>
  <c r="N36" i="1" s="1"/>
  <c r="K13" i="1"/>
  <c r="K40" i="1"/>
  <c r="N40" i="1" s="1"/>
  <c r="K33" i="1"/>
  <c r="K25" i="1"/>
  <c r="N25" i="1" s="1"/>
  <c r="K17" i="1"/>
  <c r="N17" i="1" s="1"/>
  <c r="K32" i="1"/>
  <c r="N32" i="1" s="1"/>
  <c r="K39" i="1"/>
  <c r="N39" i="1" s="1"/>
  <c r="L41" i="1"/>
  <c r="K20" i="1"/>
  <c r="K24" i="1"/>
  <c r="N24" i="1" s="1"/>
  <c r="K22" i="1"/>
  <c r="N22" i="1" s="1"/>
  <c r="K35" i="1"/>
  <c r="N35" i="1" s="1"/>
  <c r="K19" i="1"/>
  <c r="N19" i="1" s="1"/>
  <c r="K34" i="1"/>
  <c r="K23" i="1"/>
  <c r="N23" i="1" s="1"/>
  <c r="K18" i="1"/>
  <c r="K28" i="1"/>
  <c r="N28" i="1" s="1"/>
  <c r="K38" i="1"/>
  <c r="K30" i="1"/>
  <c r="N30" i="1" s="1"/>
  <c r="K37" i="1"/>
  <c r="K29" i="1"/>
  <c r="N29" i="1" s="1"/>
  <c r="K21" i="1"/>
  <c r="K26" i="1"/>
  <c r="N26" i="1" s="1"/>
  <c r="J41" i="1"/>
  <c r="W27" i="1"/>
  <c r="Q41" i="1"/>
  <c r="S41" i="1" s="1"/>
  <c r="Q42" i="1"/>
  <c r="S42" i="1" s="1"/>
  <c r="Q43" i="1"/>
  <c r="S43" i="1" s="1"/>
  <c r="L42" i="1"/>
  <c r="W20" i="1"/>
  <c r="J43" i="1"/>
  <c r="L43" i="1"/>
  <c r="AG43" i="1"/>
  <c r="AH43" i="1" s="1"/>
  <c r="D43" i="1" s="1"/>
  <c r="K43" i="1" s="1"/>
  <c r="AG42" i="1"/>
  <c r="AH42" i="1" s="1"/>
  <c r="D42" i="1" s="1"/>
  <c r="K42" i="1" s="1"/>
  <c r="AG41" i="1"/>
  <c r="AH41" i="1" s="1"/>
  <c r="D41" i="1" s="1"/>
  <c r="K41" i="1" s="1"/>
  <c r="J42" i="1" l="1"/>
  <c r="N42" i="1" s="1"/>
  <c r="O25" i="1"/>
  <c r="P25" i="1"/>
  <c r="P26" i="1"/>
  <c r="O26" i="1"/>
  <c r="P30" i="1"/>
  <c r="O30" i="1"/>
  <c r="O23" i="1"/>
  <c r="P23" i="1"/>
  <c r="P22" i="1"/>
  <c r="O22" i="1"/>
  <c r="P39" i="1"/>
  <c r="O39" i="1"/>
  <c r="O24" i="1"/>
  <c r="P24" i="1"/>
  <c r="O32" i="1"/>
  <c r="P32" i="1"/>
  <c r="O40" i="1"/>
  <c r="P40" i="1"/>
  <c r="O31" i="1"/>
  <c r="P31" i="1"/>
  <c r="O35" i="1"/>
  <c r="P35" i="1"/>
  <c r="O36" i="1"/>
  <c r="P36" i="1"/>
  <c r="O29" i="1"/>
  <c r="P29" i="1"/>
  <c r="O28" i="1"/>
  <c r="P28" i="1"/>
  <c r="O19" i="1"/>
  <c r="P19" i="1"/>
  <c r="O17" i="1"/>
  <c r="P17" i="1"/>
  <c r="O16" i="1"/>
  <c r="P16" i="1"/>
  <c r="T41" i="1"/>
  <c r="U41" i="1"/>
  <c r="U42" i="1"/>
  <c r="T42" i="1"/>
  <c r="T43" i="1"/>
  <c r="U43" i="1"/>
  <c r="N37" i="1"/>
  <c r="N43" i="1"/>
  <c r="N33" i="1"/>
  <c r="N15" i="1"/>
  <c r="N21" i="1"/>
  <c r="N38" i="1"/>
  <c r="N34" i="1"/>
  <c r="N41" i="1"/>
  <c r="N18" i="1"/>
  <c r="N20" i="1"/>
  <c r="N13" i="1"/>
  <c r="W35" i="1"/>
  <c r="V46" i="1"/>
  <c r="V48" i="1"/>
  <c r="W18" i="1"/>
  <c r="W31" i="1"/>
  <c r="W38" i="1"/>
  <c r="W25" i="1"/>
  <c r="W24" i="1"/>
  <c r="W34" i="1"/>
  <c r="W37" i="1"/>
  <c r="W23" i="1"/>
  <c r="P47" i="1"/>
  <c r="W14" i="1"/>
  <c r="U44" i="1" l="1"/>
  <c r="Y13" i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O20" i="1"/>
  <c r="P20" i="1"/>
  <c r="P34" i="1"/>
  <c r="O34" i="1"/>
  <c r="O33" i="1"/>
  <c r="P33" i="1"/>
  <c r="P38" i="1"/>
  <c r="O38" i="1"/>
  <c r="P13" i="1"/>
  <c r="O13" i="1"/>
  <c r="O15" i="1"/>
  <c r="P15" i="1"/>
  <c r="P18" i="1"/>
  <c r="O18" i="1"/>
  <c r="O21" i="1"/>
  <c r="P21" i="1"/>
  <c r="O37" i="1"/>
  <c r="P37" i="1"/>
  <c r="O42" i="1"/>
  <c r="P42" i="1"/>
  <c r="P43" i="1"/>
  <c r="O43" i="1"/>
  <c r="O41" i="1"/>
  <c r="P41" i="1"/>
  <c r="W40" i="1"/>
  <c r="W43" i="1"/>
  <c r="V47" i="1"/>
  <c r="W28" i="1"/>
  <c r="W22" i="1"/>
  <c r="W30" i="1"/>
  <c r="W16" i="1"/>
  <c r="W36" i="1"/>
  <c r="W15" i="1"/>
  <c r="W29" i="1"/>
  <c r="W19" i="1"/>
  <c r="W39" i="1"/>
  <c r="W21" i="1"/>
  <c r="W32" i="1"/>
  <c r="W33" i="1"/>
  <c r="W26" i="1"/>
  <c r="W17" i="1"/>
  <c r="Q44" i="1"/>
  <c r="W42" i="1"/>
  <c r="W13" i="1"/>
  <c r="X13" i="1" s="1"/>
  <c r="X14" i="1" s="1"/>
  <c r="T44" i="1" l="1"/>
  <c r="X15" i="1"/>
  <c r="X16" i="1" s="1"/>
  <c r="X17" i="1" s="1"/>
  <c r="X18" i="1" s="1"/>
  <c r="W41" i="1"/>
  <c r="P48" i="1"/>
  <c r="P44" i="1"/>
  <c r="O44" i="1"/>
  <c r="P46" i="1"/>
  <c r="P49" i="1" l="1"/>
  <c r="P50" i="1"/>
  <c r="X19" i="1"/>
  <c r="X20" i="1" l="1"/>
  <c r="X21" i="1" l="1"/>
  <c r="X22" i="1" l="1"/>
  <c r="X23" i="1" l="1"/>
  <c r="X24" i="1" l="1"/>
  <c r="X25" i="1" l="1"/>
  <c r="X26" i="1" l="1"/>
  <c r="X27" i="1" l="1"/>
  <c r="X28" i="1" l="1"/>
  <c r="X29" i="1" l="1"/>
  <c r="X30" i="1" l="1"/>
  <c r="X31" i="1" l="1"/>
  <c r="X32" i="1" l="1"/>
  <c r="X33" i="1" l="1"/>
  <c r="X34" i="1" l="1"/>
  <c r="X35" i="1" l="1"/>
  <c r="X36" i="1" l="1"/>
  <c r="X37" i="1" l="1"/>
  <c r="X38" i="1" l="1"/>
  <c r="X39" i="1" l="1"/>
  <c r="X40" i="1" l="1"/>
  <c r="X41" i="1" s="1"/>
  <c r="X42" i="1" s="1"/>
  <c r="X4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Marbian</author>
  </authors>
  <commentList>
    <comment ref="L8" authorId="0" shapeId="0" xr:uid="{E760C582-7997-4021-989D-220ADD28E17D}">
      <text>
        <r>
          <rPr>
            <b/>
            <sz val="9"/>
            <color indexed="81"/>
            <rFont val="Tahoma"/>
            <charset val="1"/>
          </rPr>
          <t>Valores devem estar separados por dois pontos (":")</t>
        </r>
      </text>
    </comment>
    <comment ref="C9" authorId="0" shapeId="0" xr:uid="{42F7DEE1-A6BF-4B27-9679-E6E5CEF737E9}">
      <text>
        <r>
          <rPr>
            <b/>
            <sz val="9"/>
            <color indexed="81"/>
            <rFont val="Tahoma"/>
            <charset val="1"/>
          </rPr>
          <t>Formatação:
"[Mês] / [Ano]"</t>
        </r>
      </text>
    </comment>
    <comment ref="Q10" authorId="0" shapeId="0" xr:uid="{EA1CBC34-7E98-4583-8246-542817F984F1}">
      <text>
        <r>
          <rPr>
            <b/>
            <sz val="9"/>
            <color indexed="81"/>
            <rFont val="Tahoma"/>
            <family val="2"/>
          </rPr>
          <t xml:space="preserve">Transformação aplicada.
</t>
        </r>
      </text>
    </comment>
    <comment ref="R10" authorId="0" shapeId="0" xr:uid="{C7824642-C75D-4F80-8B5C-1082FF1F05A0}">
      <text>
        <r>
          <rPr>
            <b/>
            <sz val="9"/>
            <color indexed="81"/>
            <rFont val="Tahoma"/>
            <family val="2"/>
          </rPr>
          <t>S.T = Sem transformação.
1 hora noturna = 52,5 minutos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<sst xmlns="http://schemas.openxmlformats.org/spreadsheetml/2006/main" count="55" uniqueCount="50">
  <si>
    <t>Empregador:</t>
  </si>
  <si>
    <t>Endereço:</t>
  </si>
  <si>
    <t>CNPJ:</t>
  </si>
  <si>
    <t>Empregado:</t>
  </si>
  <si>
    <t>Função:</t>
  </si>
  <si>
    <t>CTPS:</t>
  </si>
  <si>
    <t>Saldo Inicial</t>
  </si>
  <si>
    <t>Dia</t>
  </si>
  <si>
    <t>Semana</t>
  </si>
  <si>
    <t>FF</t>
  </si>
  <si>
    <t>HORÁRIO DE TRABALHO</t>
  </si>
  <si>
    <t>Horas Trabalho</t>
  </si>
  <si>
    <t>Jornada</t>
  </si>
  <si>
    <t>Intervalo</t>
  </si>
  <si>
    <t>%</t>
  </si>
  <si>
    <t>Saldo</t>
  </si>
  <si>
    <t>Início</t>
  </si>
  <si>
    <t>Saída</t>
  </si>
  <si>
    <t>Retorno</t>
  </si>
  <si>
    <t>Término</t>
  </si>
  <si>
    <t>SALDO HORAS EXTRAS</t>
  </si>
  <si>
    <t>JORNADA ESPECIAL?</t>
  </si>
  <si>
    <t>NENHUMA</t>
  </si>
  <si>
    <t>HORAS NOTURNAS</t>
  </si>
  <si>
    <t>fol</t>
  </si>
  <si>
    <t>fal</t>
  </si>
  <si>
    <t>fet</t>
  </si>
  <si>
    <t>dot</t>
  </si>
  <si>
    <t>H.EXTRA NOTURNA ATÉ 2H</t>
  </si>
  <si>
    <t>H.EXTRA NOTURNA APÓS 2H</t>
  </si>
  <si>
    <t>Referência</t>
  </si>
  <si>
    <t>Hora</t>
  </si>
  <si>
    <t>Minuto</t>
  </si>
  <si>
    <t>Segundo</t>
  </si>
  <si>
    <t>ADM</t>
  </si>
  <si>
    <t>Atraso</t>
  </si>
  <si>
    <t>TOTAL:</t>
  </si>
  <si>
    <t>J 7:20</t>
  </si>
  <si>
    <t>J 8:48</t>
  </si>
  <si>
    <t>Extras Totais:</t>
  </si>
  <si>
    <t>Extras após Folgas:</t>
  </si>
  <si>
    <t>Horas de Folga:</t>
  </si>
  <si>
    <t>Extras em FET e DOT:</t>
  </si>
  <si>
    <t>Bissexto?</t>
  </si>
  <si>
    <t>Térm.</t>
  </si>
  <si>
    <t>Retor.</t>
  </si>
  <si>
    <t>EXTRAS TOTAIS</t>
  </si>
  <si>
    <t>H. EXTRAS NOTURNAS</t>
  </si>
  <si>
    <r>
      <t xml:space="preserve">HORAS NOTURNAS </t>
    </r>
    <r>
      <rPr>
        <b/>
        <i/>
        <u/>
        <sz val="11"/>
        <color theme="1"/>
        <rFont val="Calibri"/>
        <family val="2"/>
        <scheme val="minor"/>
      </rPr>
      <t>S.T</t>
    </r>
  </si>
  <si>
    <t>SALDO ATRASOS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</si>
</sst>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yyyy"/>
    <numFmt numFmtId="165" formatCode="[h]:mm:ss;@"/>
    <numFmt numFmtId="166" formatCode="[$-F400]h:mm:ss\ AM/PM"/>
    <numFmt numFmtId="167" formatCode="0\:00"/>
    <numFmt numFmtId="168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C775"/>
        <bgColor indexed="64"/>
      </patternFill>
    </fill>
    <fill>
      <patternFill patternType="solid">
        <fgColor rgb="FFA3A3FF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2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/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3" fillId="0" borderId="14" xfId="0" applyFont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0" fillId="4" borderId="22" xfId="0" applyFill="1" applyBorder="1" applyAlignment="1">
      <alignment horizont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0" xfId="0" applyNumberFormat="1" applyAlignment="1" applyProtection="1">
      <alignment horizontal="right" vertical="center"/>
      <protection hidden="1"/>
    </xf>
    <xf numFmtId="0" fontId="1" fillId="0" borderId="0" xfId="0" applyFont="1"/>
    <xf numFmtId="168" fontId="0" fillId="0" borderId="19" xfId="0" applyNumberFormat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/>
      <protection locked="0" hidden="1"/>
    </xf>
    <xf numFmtId="0" fontId="0" fillId="5" borderId="18" xfId="0" applyFill="1" applyBorder="1" applyAlignment="1" applyProtection="1">
      <alignment horizontal="center"/>
      <protection locked="0" hidden="1"/>
    </xf>
    <xf numFmtId="0" fontId="0" fillId="5" borderId="22" xfId="0" applyFill="1" applyBorder="1" applyAlignment="1" applyProtection="1">
      <alignment horizontal="center"/>
      <protection locked="0" hidden="1"/>
    </xf>
    <xf numFmtId="168" fontId="1" fillId="0" borderId="1" xfId="0" applyNumberFormat="1" applyFont="1" applyBorder="1" applyAlignment="1" applyProtection="1">
      <alignment horizontal="center" vertical="center"/>
      <protection locked="0" hidden="1"/>
    </xf>
    <xf numFmtId="20" fontId="0" fillId="0" borderId="0" xfId="0" applyNumberFormat="1"/>
    <xf numFmtId="0" fontId="1" fillId="0" borderId="8" xfId="0" applyFont="1" applyBorder="1" applyAlignment="1">
      <alignment horizontal="center" vertical="center"/>
    </xf>
    <xf numFmtId="168" fontId="0" fillId="0" borderId="0" xfId="0" applyNumberFormat="1"/>
    <xf numFmtId="168" fontId="0" fillId="5" borderId="19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167" fontId="0" fillId="5" borderId="16" xfId="0" applyNumberFormat="1" applyFill="1" applyBorder="1" applyAlignment="1" applyProtection="1">
      <alignment horizontal="left"/>
      <protection locked="0" hidden="1"/>
    </xf>
    <xf numFmtId="167" fontId="0" fillId="5" borderId="15" xfId="0" applyNumberFormat="1" applyFill="1" applyBorder="1" applyAlignment="1" applyProtection="1">
      <alignment horizontal="left"/>
      <protection locked="0" hidden="1"/>
    </xf>
    <xf numFmtId="167" fontId="0" fillId="5" borderId="17" xfId="0" applyNumberFormat="1" applyFill="1" applyBorder="1" applyAlignment="1" applyProtection="1">
      <alignment horizontal="left"/>
      <protection locked="0" hidden="1"/>
    </xf>
    <xf numFmtId="167" fontId="0" fillId="5" borderId="21" xfId="0" applyNumberFormat="1" applyFill="1" applyBorder="1" applyAlignment="1" applyProtection="1">
      <alignment horizontal="left"/>
      <protection locked="0" hidden="1"/>
    </xf>
    <xf numFmtId="167" fontId="0" fillId="5" borderId="19" xfId="0" applyNumberFormat="1" applyFill="1" applyBorder="1" applyAlignment="1" applyProtection="1">
      <alignment horizontal="left"/>
      <protection locked="0" hidden="1"/>
    </xf>
    <xf numFmtId="167" fontId="0" fillId="5" borderId="20" xfId="0" applyNumberFormat="1" applyFill="1" applyBorder="1" applyAlignment="1" applyProtection="1">
      <alignment horizontal="left"/>
      <protection locked="0" hidden="1"/>
    </xf>
    <xf numFmtId="167" fontId="0" fillId="5" borderId="25" xfId="0" applyNumberFormat="1" applyFill="1" applyBorder="1" applyAlignment="1" applyProtection="1">
      <alignment horizontal="left"/>
      <protection locked="0" hidden="1"/>
    </xf>
    <xf numFmtId="167" fontId="0" fillId="5" borderId="23" xfId="0" applyNumberFormat="1" applyFill="1" applyBorder="1" applyAlignment="1" applyProtection="1">
      <alignment horizontal="left"/>
      <protection locked="0" hidden="1"/>
    </xf>
    <xf numFmtId="167" fontId="0" fillId="5" borderId="24" xfId="0" applyNumberFormat="1" applyFill="1" applyBorder="1" applyAlignment="1" applyProtection="1">
      <alignment horizontal="left"/>
      <protection locked="0" hidden="1"/>
    </xf>
    <xf numFmtId="168" fontId="1" fillId="0" borderId="1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165" fontId="6" fillId="0" borderId="1" xfId="0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168" fontId="0" fillId="0" borderId="16" xfId="0" applyNumberFormat="1" applyBorder="1" applyAlignment="1" applyProtection="1">
      <alignment horizontal="center" vertical="center"/>
      <protection hidden="1"/>
    </xf>
    <xf numFmtId="168" fontId="0" fillId="0" borderId="15" xfId="0" applyNumberFormat="1" applyBorder="1" applyAlignment="1" applyProtection="1">
      <alignment horizontal="center" vertical="center"/>
      <protection hidden="1"/>
    </xf>
    <xf numFmtId="165" fontId="0" fillId="0" borderId="15" xfId="0" applyNumberFormat="1" applyBorder="1" applyAlignment="1" applyProtection="1">
      <alignment horizontal="center" vertical="center"/>
      <protection hidden="1"/>
    </xf>
    <xf numFmtId="165" fontId="0" fillId="0" borderId="17" xfId="0" applyNumberFormat="1" applyBorder="1" applyAlignment="1" applyProtection="1">
      <alignment horizontal="center" vertical="center"/>
      <protection hidden="1"/>
    </xf>
    <xf numFmtId="165" fontId="0" fillId="0" borderId="16" xfId="0" applyNumberForma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 applyProtection="1">
      <alignment horizontal="center" vertical="center"/>
      <protection hidden="1"/>
    </xf>
    <xf numFmtId="168" fontId="0" fillId="0" borderId="21" xfId="0" applyNumberFormat="1" applyBorder="1" applyAlignment="1" applyProtection="1">
      <alignment horizontal="center" vertical="center"/>
      <protection hidden="1"/>
    </xf>
    <xf numFmtId="168" fontId="0" fillId="0" borderId="19" xfId="0" applyNumberFormat="1" applyBorder="1" applyAlignment="1" applyProtection="1">
      <alignment horizontal="center" vertical="center"/>
      <protection hidden="1"/>
    </xf>
    <xf numFmtId="165" fontId="0" fillId="0" borderId="19" xfId="0" applyNumberFormat="1" applyBorder="1" applyAlignment="1" applyProtection="1">
      <alignment horizontal="center" vertical="center"/>
      <protection hidden="1"/>
    </xf>
    <xf numFmtId="165" fontId="0" fillId="0" borderId="20" xfId="0" applyNumberFormat="1" applyBorder="1" applyAlignment="1" applyProtection="1">
      <alignment horizontal="center" vertical="center"/>
      <protection hidden="1"/>
    </xf>
    <xf numFmtId="165" fontId="0" fillId="0" borderId="21" xfId="0" applyNumberFormat="1" applyBorder="1" applyAlignment="1" applyProtection="1">
      <alignment horizontal="center" vertical="center"/>
      <protection hidden="1"/>
    </xf>
    <xf numFmtId="2" fontId="0" fillId="0" borderId="19" xfId="0" applyNumberFormat="1" applyBorder="1" applyAlignment="1" applyProtection="1">
      <alignment horizontal="center" vertical="center"/>
      <protection hidden="1"/>
    </xf>
    <xf numFmtId="168" fontId="0" fillId="0" borderId="25" xfId="0" applyNumberFormat="1" applyBorder="1" applyAlignment="1" applyProtection="1">
      <alignment horizontal="center" vertical="center"/>
      <protection hidden="1"/>
    </xf>
    <xf numFmtId="168" fontId="0" fillId="0" borderId="23" xfId="0" applyNumberFormat="1" applyBorder="1" applyAlignment="1" applyProtection="1">
      <alignment horizontal="center" vertical="center"/>
      <protection hidden="1"/>
    </xf>
    <xf numFmtId="165" fontId="0" fillId="0" borderId="23" xfId="0" applyNumberFormat="1" applyBorder="1" applyAlignment="1" applyProtection="1">
      <alignment horizontal="center" vertical="center"/>
      <protection hidden="1"/>
    </xf>
    <xf numFmtId="165" fontId="0" fillId="0" borderId="24" xfId="0" applyNumberFormat="1" applyBorder="1" applyAlignment="1" applyProtection="1">
      <alignment horizontal="center" vertical="center"/>
      <protection hidden="1"/>
    </xf>
    <xf numFmtId="2" fontId="0" fillId="0" borderId="23" xfId="0" applyNumberFormat="1" applyBorder="1" applyAlignment="1" applyProtection="1">
      <alignment horizontal="center" vertical="center"/>
      <protection hidden="1"/>
    </xf>
    <xf numFmtId="164" fontId="8" fillId="2" borderId="1" xfId="0" applyNumberFormat="1" applyFont="1" applyFill="1" applyBorder="1" applyAlignment="1" applyProtection="1">
      <alignment horizontal="center" vertical="center"/>
      <protection locked="0" hidden="1"/>
    </xf>
    <xf numFmtId="0" fontId="0" fillId="0" borderId="27" xfId="0" applyBorder="1"/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0" fillId="0" borderId="0" xfId="0" applyNumberFormat="1"/>
    <xf numFmtId="165" fontId="0" fillId="0" borderId="29" xfId="0" applyNumberFormat="1" applyBorder="1" applyAlignment="1" applyProtection="1">
      <alignment horizontal="center" vertical="center"/>
      <protection hidden="1"/>
    </xf>
    <xf numFmtId="165" fontId="0" fillId="0" borderId="30" xfId="0" applyNumberFormat="1" applyBorder="1" applyAlignment="1" applyProtection="1">
      <alignment horizontal="center" vertical="center"/>
      <protection hidden="1"/>
    </xf>
    <xf numFmtId="165" fontId="0" fillId="0" borderId="31" xfId="0" applyNumberFormat="1" applyBorder="1" applyAlignment="1" applyProtection="1">
      <alignment horizontal="center" vertical="center"/>
      <protection hidden="1"/>
    </xf>
    <xf numFmtId="165" fontId="8" fillId="4" borderId="1" xfId="0" applyNumberFormat="1" applyFont="1" applyFill="1" applyBorder="1" applyAlignment="1" applyProtection="1">
      <alignment horizontal="center" vertical="center"/>
      <protection locked="0" hidden="1"/>
    </xf>
    <xf numFmtId="165" fontId="8" fillId="6" borderId="1" xfId="0" applyNumberFormat="1" applyFont="1" applyFill="1" applyBorder="1" applyAlignment="1" applyProtection="1">
      <alignment horizontal="center" vertical="center"/>
      <protection locked="0" hidden="1"/>
    </xf>
    <xf numFmtId="165" fontId="0" fillId="0" borderId="37" xfId="0" applyNumberFormat="1" applyBorder="1" applyAlignment="1" applyProtection="1">
      <alignment horizontal="center" vertical="center"/>
      <protection hidden="1"/>
    </xf>
    <xf numFmtId="165" fontId="0" fillId="0" borderId="40" xfId="0" applyNumberFormat="1" applyBorder="1" applyAlignment="1" applyProtection="1">
      <alignment horizontal="center" vertical="center"/>
      <protection hidden="1"/>
    </xf>
    <xf numFmtId="0" fontId="2" fillId="9" borderId="21" xfId="0" applyFont="1" applyFill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9" borderId="25" xfId="0" applyFont="1" applyFill="1" applyBorder="1" applyAlignment="1">
      <alignment horizontal="right" vertical="center"/>
    </xf>
    <xf numFmtId="0" fontId="2" fillId="9" borderId="24" xfId="0" applyFont="1" applyFill="1" applyBorder="1" applyAlignment="1">
      <alignment horizontal="right" vertical="center"/>
    </xf>
    <xf numFmtId="0" fontId="2" fillId="4" borderId="37" xfId="0" applyFont="1" applyFill="1" applyBorder="1" applyAlignment="1">
      <alignment horizontal="right" vertical="center"/>
    </xf>
    <xf numFmtId="0" fontId="2" fillId="4" borderId="38" xfId="0" applyFont="1" applyFill="1" applyBorder="1" applyAlignment="1">
      <alignment horizontal="right" vertical="center"/>
    </xf>
    <xf numFmtId="0" fontId="2" fillId="4" borderId="39" xfId="0" applyFont="1" applyFill="1" applyBorder="1" applyAlignment="1">
      <alignment horizontal="right" vertical="center"/>
    </xf>
    <xf numFmtId="0" fontId="2" fillId="4" borderId="30" xfId="0" applyFont="1" applyFill="1" applyBorder="1" applyAlignment="1">
      <alignment horizontal="right" vertical="center"/>
    </xf>
    <xf numFmtId="0" fontId="2" fillId="4" borderId="35" xfId="0" applyFont="1" applyFill="1" applyBorder="1" applyAlignment="1">
      <alignment horizontal="right" vertical="center"/>
    </xf>
    <xf numFmtId="0" fontId="2" fillId="4" borderId="36" xfId="0" applyFont="1" applyFill="1" applyBorder="1" applyAlignment="1">
      <alignment horizontal="right" vertical="center"/>
    </xf>
    <xf numFmtId="0" fontId="1" fillId="8" borderId="12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0" fontId="2" fillId="9" borderId="16" xfId="0" applyFont="1" applyFill="1" applyBorder="1" applyAlignment="1">
      <alignment horizontal="right" vertical="center"/>
    </xf>
    <xf numFmtId="0" fontId="2" fillId="9" borderId="17" xfId="0" applyFont="1" applyFill="1" applyBorder="1" applyAlignment="1">
      <alignment horizontal="right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4" borderId="32" xfId="0" applyFont="1" applyFill="1" applyBorder="1" applyAlignment="1">
      <alignment horizontal="right" vertical="center"/>
    </xf>
    <xf numFmtId="0" fontId="2" fillId="4" borderId="33" xfId="0" applyFont="1" applyFill="1" applyBorder="1" applyAlignment="1">
      <alignment horizontal="right" vertical="center"/>
    </xf>
    <xf numFmtId="0" fontId="2" fillId="4" borderId="34" xfId="0" applyFont="1" applyFill="1" applyBorder="1" applyAlignment="1">
      <alignment horizontal="right" vertical="center"/>
    </xf>
    <xf numFmtId="0" fontId="4" fillId="0" borderId="9" xfId="0" applyFont="1" applyBorder="1" applyAlignment="1">
      <alignment horizontal="right" vertical="center" wrapText="1"/>
    </xf>
    <xf numFmtId="0" fontId="4" fillId="0" borderId="26" xfId="0" applyFont="1" applyBorder="1" applyAlignment="1">
      <alignment horizontal="right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9" xfId="0" applyFont="1" applyBorder="1" applyAlignment="1">
      <alignment horizontal="right" vertical="center"/>
    </xf>
    <xf numFmtId="0" fontId="4" fillId="0" borderId="10" xfId="0" applyFont="1" applyBorder="1" applyAlignment="1">
      <alignment horizontal="right" vertical="center"/>
    </xf>
    <xf numFmtId="0" fontId="1" fillId="7" borderId="1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17" fontId="2" fillId="0" borderId="1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76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A3A3FF"/>
      <color rgb="FF4343FF"/>
      <color rgb="FFFFC775"/>
      <color rgb="FFFFFFA7"/>
      <color rgb="FF4BFF9C"/>
      <color rgb="FFFFFF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46</xdr:row>
      <xdr:rowOff>212912</xdr:rowOff>
    </xdr:from>
    <xdr:to>
      <xdr:col>9</xdr:col>
      <xdr:colOff>89340</xdr:colOff>
      <xdr:row>57</xdr:row>
      <xdr:rowOff>257736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C59C202-63F4-47E7-8660-E0B38B2B1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9491383"/>
          <a:ext cx="4717369" cy="2879912"/>
        </a:xfrm>
        <a:prstGeom prst="rect">
          <a:avLst/>
        </a:prstGeom>
      </xdr:spPr>
    </xdr:pic>
    <xdr:clientData/>
  </xdr:twoCellAnchor>
  <xdr:twoCellAnchor>
    <xdr:from>
      <xdr:col>13</xdr:col>
      <xdr:colOff>302558</xdr:colOff>
      <xdr:row>47</xdr:row>
      <xdr:rowOff>246436</xdr:rowOff>
    </xdr:from>
    <xdr:to>
      <xdr:col>13</xdr:col>
      <xdr:colOff>532331</xdr:colOff>
      <xdr:row>48</xdr:row>
      <xdr:rowOff>192455</xdr:rowOff>
    </xdr:to>
    <xdr:sp macro="" textlink="">
      <xdr:nvSpPr>
        <xdr:cNvPr id="9" name="Seta: Dobrada para Cima 8">
          <a:extLst>
            <a:ext uri="{FF2B5EF4-FFF2-40B4-BE49-F238E27FC236}">
              <a16:creationId xmlns:a16="http://schemas.microsoft.com/office/drawing/2014/main" id="{238D0AC9-D9B0-4F8C-B760-8FEEE3D1974E}"/>
            </a:ext>
          </a:extLst>
        </xdr:cNvPr>
        <xdr:cNvSpPr/>
      </xdr:nvSpPr>
      <xdr:spPr>
        <a:xfrm rot="5400000">
          <a:off x="8916083" y="9752823"/>
          <a:ext cx="192548" cy="229773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91108</xdr:colOff>
      <xdr:row>48</xdr:row>
      <xdr:rowOff>9845</xdr:rowOff>
    </xdr:from>
    <xdr:to>
      <xdr:col>13</xdr:col>
      <xdr:colOff>560291</xdr:colOff>
      <xdr:row>49</xdr:row>
      <xdr:rowOff>207509</xdr:rowOff>
    </xdr:to>
    <xdr:sp macro="" textlink="">
      <xdr:nvSpPr>
        <xdr:cNvPr id="10" name="Seta: Dobrada para Cima 9">
          <a:extLst>
            <a:ext uri="{FF2B5EF4-FFF2-40B4-BE49-F238E27FC236}">
              <a16:creationId xmlns:a16="http://schemas.microsoft.com/office/drawing/2014/main" id="{0B961C66-7E0C-427C-923C-633A07E4482C}"/>
            </a:ext>
          </a:extLst>
        </xdr:cNvPr>
        <xdr:cNvSpPr/>
      </xdr:nvSpPr>
      <xdr:spPr>
        <a:xfrm rot="5400000">
          <a:off x="8104603" y="9768879"/>
          <a:ext cx="444194" cy="469183"/>
        </a:xfrm>
        <a:prstGeom prst="bentUpArrow">
          <a:avLst>
            <a:gd name="adj1" fmla="val 14153"/>
            <a:gd name="adj2" fmla="val 17593"/>
            <a:gd name="adj3" fmla="val 1944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369795</xdr:colOff>
      <xdr:row>46</xdr:row>
      <xdr:rowOff>3</xdr:rowOff>
    </xdr:from>
    <xdr:to>
      <xdr:col>19</xdr:col>
      <xdr:colOff>672352</xdr:colOff>
      <xdr:row>46</xdr:row>
      <xdr:rowOff>190503</xdr:rowOff>
    </xdr:to>
    <xdr:sp macro="" textlink="">
      <xdr:nvSpPr>
        <xdr:cNvPr id="11" name="Seta: Dobrada para Cima 10">
          <a:extLst>
            <a:ext uri="{FF2B5EF4-FFF2-40B4-BE49-F238E27FC236}">
              <a16:creationId xmlns:a16="http://schemas.microsoft.com/office/drawing/2014/main" id="{BC97855A-3FE9-449D-B280-9531D01F2938}"/>
            </a:ext>
          </a:extLst>
        </xdr:cNvPr>
        <xdr:cNvSpPr/>
      </xdr:nvSpPr>
      <xdr:spPr>
        <a:xfrm rot="5400000">
          <a:off x="11430000" y="9054356"/>
          <a:ext cx="190500" cy="302557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224117</xdr:colOff>
      <xdr:row>46</xdr:row>
      <xdr:rowOff>0</xdr:rowOff>
    </xdr:from>
    <xdr:to>
      <xdr:col>19</xdr:col>
      <xdr:colOff>705970</xdr:colOff>
      <xdr:row>47</xdr:row>
      <xdr:rowOff>212912</xdr:rowOff>
    </xdr:to>
    <xdr:sp macro="" textlink="">
      <xdr:nvSpPr>
        <xdr:cNvPr id="12" name="Seta: Dobrada para Cima 11">
          <a:extLst>
            <a:ext uri="{FF2B5EF4-FFF2-40B4-BE49-F238E27FC236}">
              <a16:creationId xmlns:a16="http://schemas.microsoft.com/office/drawing/2014/main" id="{F60F8E1B-99CD-4D77-9988-10078FE3F115}"/>
            </a:ext>
          </a:extLst>
        </xdr:cNvPr>
        <xdr:cNvSpPr/>
      </xdr:nvSpPr>
      <xdr:spPr>
        <a:xfrm rot="5400000">
          <a:off x="11239499" y="9099176"/>
          <a:ext cx="459442" cy="481853"/>
        </a:xfrm>
        <a:prstGeom prst="bentUpArrow">
          <a:avLst>
            <a:gd name="adj1" fmla="val 14153"/>
            <a:gd name="adj2" fmla="val 17593"/>
            <a:gd name="adj3" fmla="val 1944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421541</xdr:colOff>
      <xdr:row>1</xdr:row>
      <xdr:rowOff>97083</xdr:rowOff>
    </xdr:from>
    <xdr:ext cx="6115777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47978CC-728D-4C5C-BD13-AF3CD8B15E89}"/>
            </a:ext>
          </a:extLst>
        </xdr:cNvPr>
        <xdr:cNvSpPr/>
      </xdr:nvSpPr>
      <xdr:spPr>
        <a:xfrm>
          <a:off x="5206453" y="287583"/>
          <a:ext cx="611577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Apuração de Jornada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AW59"/>
  <sheetViews>
    <sheetView tabSelected="1" topLeftCell="C7" zoomScale="85" zoomScaleNormal="85" zoomScaleSheetLayoutView="70" workbookViewId="0">
      <selection activeCell="J17" sqref="J17"/>
    </sheetView>
  </sheetViews>
  <sheetFormatPr defaultRowHeight="14.4" x14ac:dyDescent="0.3"/>
  <cols>
    <col min="1" max="1" width="13.88671875" customWidth="1"/>
    <col min="5" max="9" width="10.33203125" customWidth="1"/>
    <col min="10" max="10" width="9.6640625" customWidth="1"/>
    <col min="11" max="11" width="9.109375" customWidth="1"/>
    <col min="12" max="14" width="8.88671875" customWidth="1"/>
    <col min="15" max="15" width="11.109375" customWidth="1"/>
    <col min="16" max="16" width="11.44140625" customWidth="1"/>
    <col min="17" max="21" width="11.33203125" customWidth="1"/>
    <col min="22" max="22" width="9.88671875" bestFit="1" customWidth="1"/>
    <col min="23" max="23" width="10.109375" hidden="1" customWidth="1"/>
    <col min="24" max="24" width="9.44140625" hidden="1" customWidth="1"/>
    <col min="25" max="26" width="11.5546875" customWidth="1"/>
    <col min="27" max="27" width="6.5546875" customWidth="1"/>
    <col min="28" max="28" width="10.6640625" customWidth="1"/>
    <col min="29" max="30" width="6.109375" hidden="1" customWidth="1"/>
    <col min="31" max="31" width="6.5546875" hidden="1" customWidth="1"/>
    <col min="32" max="32" width="6.109375" hidden="1" customWidth="1"/>
    <col min="33" max="33" width="10.88671875" hidden="1" customWidth="1"/>
    <col min="34" max="34" width="6.6640625" hidden="1" customWidth="1"/>
    <col min="35" max="35" width="9.109375" hidden="1" customWidth="1"/>
    <col min="36" max="36" width="10.6640625" hidden="1" customWidth="1"/>
    <col min="37" max="37" width="7.109375" hidden="1" customWidth="1"/>
    <col min="38" max="38" width="9.109375" customWidth="1"/>
    <col min="39" max="42" width="9.88671875" customWidth="1"/>
    <col min="43" max="43" width="9.109375" customWidth="1"/>
    <col min="44" max="44" width="10" bestFit="1" customWidth="1"/>
    <col min="49" max="49" width="8.44140625" bestFit="1" customWidth="1"/>
  </cols>
  <sheetData>
    <row r="2" spans="2:49" x14ac:dyDescent="0.3">
      <c r="Z2" s="1"/>
      <c r="AA2" s="23"/>
    </row>
    <row r="3" spans="2:49" x14ac:dyDescent="0.3">
      <c r="Z3" s="1"/>
    </row>
    <row r="4" spans="2:49" ht="18" customHeight="1" x14ac:dyDescent="0.3">
      <c r="Z4" s="3"/>
      <c r="AA4" s="3"/>
      <c r="AD4" s="2"/>
    </row>
    <row r="5" spans="2:49" ht="18" customHeight="1" x14ac:dyDescent="0.3"/>
    <row r="6" spans="2:49" ht="18" customHeight="1" x14ac:dyDescent="0.3">
      <c r="AJ6" s="21"/>
      <c r="AK6" s="21"/>
      <c r="AW6" s="72"/>
    </row>
    <row r="7" spans="2:49" ht="18" customHeight="1" thickBot="1" x14ac:dyDescent="0.35">
      <c r="AJ7" s="21"/>
    </row>
    <row r="8" spans="2:49" ht="18" customHeight="1" thickBot="1" x14ac:dyDescent="0.35">
      <c r="L8" s="103" t="s">
        <v>6</v>
      </c>
      <c r="M8" s="105"/>
      <c r="N8" s="104"/>
      <c r="O8" s="76">
        <v>0</v>
      </c>
      <c r="P8" s="77">
        <v>0</v>
      </c>
      <c r="Z8" s="3"/>
      <c r="AA8" s="3"/>
      <c r="AF8" s="23"/>
      <c r="AJ8" s="21"/>
    </row>
    <row r="9" spans="2:49" ht="18.75" customHeight="1" thickBot="1" x14ac:dyDescent="0.35">
      <c r="B9" s="68"/>
      <c r="C9" s="103" t="s">
        <v>30</v>
      </c>
      <c r="D9" s="104"/>
      <c r="E9" s="67">
        <v>44166</v>
      </c>
      <c r="F9" s="111" t="s">
        <v>21</v>
      </c>
      <c r="G9" s="112"/>
      <c r="H9" s="20" t="s">
        <v>22</v>
      </c>
      <c r="T9" s="1"/>
    </row>
    <row r="10" spans="2:49" ht="15.75" customHeight="1" x14ac:dyDescent="0.3">
      <c r="C10" s="95" t="s">
        <v>7</v>
      </c>
      <c r="D10" s="95" t="s">
        <v>8</v>
      </c>
      <c r="E10" s="113" t="s">
        <v>9</v>
      </c>
      <c r="F10" s="116" t="s">
        <v>10</v>
      </c>
      <c r="G10" s="117"/>
      <c r="H10" s="117"/>
      <c r="I10" s="118"/>
      <c r="J10" s="122" t="s">
        <v>11</v>
      </c>
      <c r="K10" s="122" t="s">
        <v>12</v>
      </c>
      <c r="L10" s="95" t="s">
        <v>13</v>
      </c>
      <c r="M10" s="95" t="s">
        <v>35</v>
      </c>
      <c r="N10" s="108" t="s">
        <v>46</v>
      </c>
      <c r="O10" s="108" t="str">
        <f>IFERROR(IF($H$9="J 8:48","EXTRAS ATÉ 1:12H","EXTRAS ATÉ 2H"),"ERRO")</f>
        <v>EXTRAS ATÉ 2H</v>
      </c>
      <c r="P10" s="108" t="str">
        <f>IFERROR(IF($H$9="J 8:48","EXTRAS APÓS 1:12H","EXTRAS APÓS 2H"),"ERRO")</f>
        <v>EXTRAS APÓS 2H</v>
      </c>
      <c r="Q10" s="122" t="s">
        <v>23</v>
      </c>
      <c r="R10" s="122" t="s">
        <v>48</v>
      </c>
      <c r="S10" s="90" t="s">
        <v>47</v>
      </c>
      <c r="T10" s="90" t="s">
        <v>28</v>
      </c>
      <c r="U10" s="90" t="s">
        <v>29</v>
      </c>
      <c r="V10" s="122" t="s">
        <v>49</v>
      </c>
      <c r="W10" s="95" t="s">
        <v>14</v>
      </c>
      <c r="X10" s="95" t="s">
        <v>15</v>
      </c>
      <c r="Y10" s="122" t="s">
        <v>20</v>
      </c>
      <c r="AI10" s="23"/>
      <c r="AJ10" s="23"/>
    </row>
    <row r="11" spans="2:49" ht="19.5" customHeight="1" thickBot="1" x14ac:dyDescent="0.35">
      <c r="C11" s="96"/>
      <c r="D11" s="96"/>
      <c r="E11" s="114"/>
      <c r="F11" s="119"/>
      <c r="G11" s="120"/>
      <c r="H11" s="120"/>
      <c r="I11" s="121"/>
      <c r="J11" s="123"/>
      <c r="K11" s="123"/>
      <c r="L11" s="96"/>
      <c r="M11" s="96"/>
      <c r="N11" s="109"/>
      <c r="O11" s="109"/>
      <c r="P11" s="109"/>
      <c r="Q11" s="123"/>
      <c r="R11" s="123"/>
      <c r="S11" s="91"/>
      <c r="T11" s="91"/>
      <c r="U11" s="91"/>
      <c r="V11" s="123"/>
      <c r="W11" s="96"/>
      <c r="X11" s="97"/>
      <c r="Y11" s="123"/>
      <c r="AI11" s="1"/>
    </row>
    <row r="12" spans="2:49" ht="15" thickBot="1" x14ac:dyDescent="0.35">
      <c r="B12" s="1"/>
      <c r="C12" s="97"/>
      <c r="D12" s="97"/>
      <c r="E12" s="115"/>
      <c r="F12" s="4" t="s">
        <v>16</v>
      </c>
      <c r="G12" s="4" t="s">
        <v>17</v>
      </c>
      <c r="H12" s="4" t="s">
        <v>18</v>
      </c>
      <c r="I12" s="4" t="s">
        <v>19</v>
      </c>
      <c r="J12" s="124"/>
      <c r="K12" s="124"/>
      <c r="L12" s="97"/>
      <c r="M12" s="97"/>
      <c r="N12" s="110"/>
      <c r="O12" s="110"/>
      <c r="P12" s="110"/>
      <c r="Q12" s="124"/>
      <c r="R12" s="124"/>
      <c r="S12" s="92"/>
      <c r="T12" s="92"/>
      <c r="U12" s="92"/>
      <c r="V12" s="124"/>
      <c r="W12" s="97"/>
      <c r="X12" s="22" t="s">
        <v>14</v>
      </c>
      <c r="Y12" s="124"/>
      <c r="AC12" t="s">
        <v>16</v>
      </c>
      <c r="AD12" s="1" t="s">
        <v>17</v>
      </c>
      <c r="AE12" s="5" t="s">
        <v>45</v>
      </c>
      <c r="AF12" s="5" t="s">
        <v>44</v>
      </c>
    </row>
    <row r="13" spans="2:49" ht="15" thickBot="1" x14ac:dyDescent="0.35">
      <c r="C13" s="6">
        <v>1</v>
      </c>
      <c r="D13" s="7" t="str">
        <f t="shared" ref="D13:D43" si="0">IFERROR(IF(AH13="","",IF(AH13=1,"DOM",IF(AH13=2,"SEG",IF(AH13=3,"TER",IF(AH13=4,"QUA",IF(AH13=5,"QUI",IF(AH13=6,"SEX",IF(AH13=7,"SAB")))))))),"ERRO")</f>
        <v>TER</v>
      </c>
      <c r="E13" s="17"/>
      <c r="F13" s="31"/>
      <c r="G13" s="32"/>
      <c r="H13" s="32"/>
      <c r="I13" s="33"/>
      <c r="J13" s="50">
        <f t="shared" ref="J13:J40" si="1">IFERROR(IF(E13&lt;&gt;"fol",IF(AND(AD13&gt;=AC13,AF13&gt;=AE13,F13&lt;&gt;"",G13&lt;&gt;"",H13&lt;&gt;"",I13&lt;&gt;""),(AD13-AC13)+(AF13-AE13),0),0),"ERRO")</f>
        <v>0</v>
      </c>
      <c r="K13" s="51">
        <f>IFERROR(IF(OR(D13="seg",D13="ter",D13="qua",D13="qui",D13="sex"),IF($H$9="NENHUMA",8/24,IF($H$9="ADM",IF(D13&lt;&gt;"SEX",9/24,8/24),IF($H$9="J 7:20",(7/24)+(20/(24*60)),(8/24)+(48/(24*60))))),IF(D13="sab",IF($H$9="NENHUMA",4/24,IF($H$9="J 8:48",(8/24)+(48/(24*60)),IF($H$9="J 7:20",(7/24)+(20/(24*60)),8/24))),IF(OR($H$9="NENHUMA",$H$9="ADM"),8/24,IF($H$9="J 8:48",(8/24)+(48/(24*60)),(7/24)+(20/(24*60)))))),0)</f>
        <v>0.33333333333333331</v>
      </c>
      <c r="L13" s="51">
        <f t="shared" ref="L13:L40" si="2">IFERROR(IF(E13&lt;&gt;"fol",IF(AND(AE13&gt;=AD13,AE13&lt;&gt;"",AD13&lt;&gt;""),AE13-AD13,0),0),"ERRO")</f>
        <v>0</v>
      </c>
      <c r="M13" s="51">
        <f>IFERROR(IF(AND(F13&lt;&gt;"",G13&lt;&gt;"",H13&lt;&gt;"",I13&lt;&gt;""),IF(K13&gt;J13,K13-J13,0),0),"ERRO")</f>
        <v>0</v>
      </c>
      <c r="N13" s="51">
        <f>IFERROR(IF(E13&lt;&gt;"fol",IF(AND(J13&gt;K13,F13&lt;&gt;"",G13&lt;&gt;"",H13&lt;&gt;"",I13&lt;&gt;""),J13-K13,0),0),0)</f>
        <v>0</v>
      </c>
      <c r="O13" s="52">
        <f>IFERROR(IF($H$9="J 8:48",IF(N13&lt;((1/24)+(12/(24*60))),N13,((1/24)+(12/(24*60)))),IF(N13&lt;2/24,N13,2/24)),"ERRO")</f>
        <v>0</v>
      </c>
      <c r="P13" s="53">
        <f>IFERROR(IF($H$9="J 8:48",IF(N13&gt;((1/24)+(12/(24*60))),(N13-((1/24)+(12/(24*60)))),0),IF(N13&gt;2/24,N13-2/24,0)),"ERRO")</f>
        <v>0</v>
      </c>
      <c r="Q13" s="54">
        <f>IFERROR((R13)*(60/52.5),"ERRO")</f>
        <v>0</v>
      </c>
      <c r="R13" s="58" cm="1">
        <f t="array" ref="R13">adicionalNoturno4(AC13,AD13,AE13,AF13)</f>
        <v>0</v>
      </c>
      <c r="S13" s="73">
        <f>IFERROR(IF(Q13&gt;8/24,Q13-8/24,0),"ERRO")</f>
        <v>0</v>
      </c>
      <c r="T13" s="52">
        <f>IFERROR(IF(S13&lt;2/24,S13,2/24),"ERRO")</f>
        <v>0</v>
      </c>
      <c r="U13" s="53">
        <f>IFERROR(IF(S13&gt;2/24,S13-2/24,0),"ERRO")</f>
        <v>0</v>
      </c>
      <c r="V13" s="50">
        <f>IFERROR(M13+((AN15/24)+(AO15/(24*60))+(AP15/(24*3600))),0)</f>
        <v>0</v>
      </c>
      <c r="W13" s="55">
        <f t="shared" ref="W13:W19" si="3">IF(OR(E13="foj",AND(F13&lt;&gt;"",G13&lt;&gt;"",H13&lt;&gt;"",I13&lt;&gt;"")),IF(AA13&gt;V13,(HOUR(AA13)+MINUTE(AA13)/60)-(HOUR(V13)+MINUTE(V13)/60),(-1)*(HOUR(AA13)+MINUTE(AA13)/60)-(HOUR(V13)+MINUTE(V13)/60)),0)</f>
        <v>0</v>
      </c>
      <c r="X13" s="55">
        <f>W13+(AN14+AO14/60+AP14/3600)-(AN15+AO15/60+AP15/3600)</f>
        <v>0</v>
      </c>
      <c r="Y13" s="53">
        <f>IFERROR(N13+((AN14/24)+(AO14/(24*60))+(AP14/(24*3600))),0)</f>
        <v>0</v>
      </c>
      <c r="AC13" s="24">
        <f t="shared" ref="AC13:AC43" si="4">IFERROR(IF(F13="",0,TIME(QUOTIENT(F13,100),RIGHT(F13,2),0)),"ERRO")</f>
        <v>0</v>
      </c>
      <c r="AD13" s="24">
        <f t="shared" ref="AD13:AD43" si="5">IFERROR(IF(G13="",0,IF(TIME(QUOTIENT(G13,100),RIGHT(G13,2),0)&lt;AC13,TIME(QUOTIENT(G13,100),RIGHT(G13,2),0)+1,TIME(QUOTIENT(G13,100),RIGHT(G13,2),0))),"ERRO")</f>
        <v>0</v>
      </c>
      <c r="AE13" s="24">
        <f t="shared" ref="AE13:AE43" si="6">IFERROR(IF(H13="",0,IF(TIME(QUOTIENT(H13,100),RIGHT(H13,2),0)&lt;AD13,TIME(QUOTIENT(H13,100),RIGHT(H13,2),0)+1,TIME(QUOTIENT(H13,100),RIGHT(H13,2),0))),"ERRO")</f>
        <v>0</v>
      </c>
      <c r="AF13" s="24">
        <f t="shared" ref="AF13:AF43" si="7">IFERROR(IF(I13="",0,IF(TIME(QUOTIENT(I13,100),RIGHT(I13,2),0)&lt;AE13,TIME(QUOTIENT(I13,100),RIGHT(I13,2),0)+1,TIME(QUOTIENT(I13,100),RIGHT(I13,2),0))),"ERRO")</f>
        <v>0</v>
      </c>
      <c r="AG13" s="12">
        <f t="shared" ref="AG13:AG43" si="8">IFERROR(IF(C13="","",IF(DAY($E$9)=0,"",$E$9+C13-1)),0)</f>
        <v>44166</v>
      </c>
      <c r="AH13" s="13">
        <f t="shared" ref="AH13:AH43" si="9">IFERROR(IF(AG13="","",IF(DAY($AG$13)=0,"",WEEKDAY(AG13,1))),1)</f>
        <v>3</v>
      </c>
      <c r="AJ13" s="40" t="s">
        <v>34</v>
      </c>
      <c r="AK13" s="16" t="s">
        <v>24</v>
      </c>
      <c r="AN13" t="s">
        <v>31</v>
      </c>
      <c r="AO13" t="s">
        <v>32</v>
      </c>
      <c r="AP13" t="s">
        <v>33</v>
      </c>
    </row>
    <row r="14" spans="2:49" x14ac:dyDescent="0.3">
      <c r="C14" s="8">
        <v>2</v>
      </c>
      <c r="D14" s="9" t="str">
        <f t="shared" si="0"/>
        <v>QUA</v>
      </c>
      <c r="E14" s="18"/>
      <c r="F14" s="34"/>
      <c r="G14" s="35"/>
      <c r="H14" s="35"/>
      <c r="I14" s="36"/>
      <c r="J14" s="56">
        <f t="shared" si="1"/>
        <v>0</v>
      </c>
      <c r="K14" s="57">
        <f t="shared" ref="K14:K40" si="10">IFERROR(IF(OR(D14="seg",D14="ter",D14="qua",D14="qui",D14="sex"),IF($H$9="NENHUMA",8/24,IF($H$9="ADM",IF(D14&lt;&gt;"SEX",9/24,8/24),IF($H$9="J 7:20",(7/24)+(20/(24*60)),(8/24)+(48/(24*60))))),IF(D14="sab",IF($H$9="NENHUMA",4/24,IF($H$9="J 8:48",(8/24)+(48/(24*60)),IF($H$9="J 7:20",(7/24)+(20/(24*60)),8/24))),IF(OR($H$9="NENHUMA",$H$9="ADM"),8/24,IF($H$9="J 8:48",(8/24)+(48/(24*60)),(7/24)+(20/(24*60)))))),0)</f>
        <v>0.33333333333333331</v>
      </c>
      <c r="L14" s="57">
        <f t="shared" si="2"/>
        <v>0</v>
      </c>
      <c r="M14" s="57">
        <f t="shared" ref="M14:M43" si="11">IFERROR(IF(AND(F14&lt;&gt;"",G14&lt;&gt;"",H14&lt;&gt;"",I14&lt;&gt;""),IF(K14&gt;J14,K14-J14,0),0),"ERRO")</f>
        <v>0</v>
      </c>
      <c r="N14" s="57">
        <f t="shared" ref="N14:N43" si="12">IFERROR(IF(E14&lt;&gt;"fol",IF(AND(J14&gt;K14,F14&lt;&gt;"",G14&lt;&gt;"",H14&lt;&gt;"",I14&lt;&gt;""),J14-K14,0),0),0)</f>
        <v>0</v>
      </c>
      <c r="O14" s="58">
        <f t="shared" ref="O14:O43" si="13">IFERROR(IF($H$9="J 8:48",IF(N14&lt;((1/24)+(12/(24*60))),N14,((1/24)+(12/(24*60)))),IF(N14&lt;2/24,N14,2/24)),"ERRO")</f>
        <v>0</v>
      </c>
      <c r="P14" s="59">
        <f t="shared" ref="P14:P43" si="14">IFERROR(IF($H$9="J 8:48",IF(N14&gt;((1/24)+(12/(24*60))),(N14-((1/24)+(12/(24*60)))),0),IF(N14&gt;2/24,N14-2/24,0)),"ERRO")</f>
        <v>0</v>
      </c>
      <c r="Q14" s="60">
        <f t="shared" ref="Q14:Q40" si="15">IFERROR((R14)*(60/52.5),"ERRO")</f>
        <v>0</v>
      </c>
      <c r="R14" s="58" cm="1">
        <f t="array" ref="R14">adicionalNoturno4(AC14,AD14,AE14,AF14)</f>
        <v>0</v>
      </c>
      <c r="S14" s="58">
        <f t="shared" ref="S14:S43" si="16">IFERROR(IF(Q14&gt;8/24,Q14-8/24,0),"ERRO")</f>
        <v>0</v>
      </c>
      <c r="T14" s="58">
        <f t="shared" ref="T14:T43" si="17">IFERROR(IF(S14&lt;2/24,S14,2/24),"ERRO")</f>
        <v>0</v>
      </c>
      <c r="U14" s="59">
        <f t="shared" ref="U14:U43" si="18">IFERROR(IF(S14&gt;2/24,S14-2/24,0),"ERRO")</f>
        <v>0</v>
      </c>
      <c r="V14" s="56">
        <f>IFERROR(M14+V13,0)</f>
        <v>0</v>
      </c>
      <c r="W14" s="61">
        <f t="shared" si="3"/>
        <v>0</v>
      </c>
      <c r="X14" s="61">
        <f t="shared" ref="X14:X40" si="19">X13+W14</f>
        <v>0</v>
      </c>
      <c r="Y14" s="59">
        <f>IFERROR(N14+Y13,0)</f>
        <v>0</v>
      </c>
      <c r="AC14" s="24">
        <f t="shared" si="4"/>
        <v>0</v>
      </c>
      <c r="AD14" s="24">
        <f t="shared" si="5"/>
        <v>0</v>
      </c>
      <c r="AE14" s="24">
        <f t="shared" si="6"/>
        <v>0</v>
      </c>
      <c r="AF14" s="24">
        <f t="shared" si="7"/>
        <v>0</v>
      </c>
      <c r="AG14" s="12">
        <f t="shared" si="8"/>
        <v>44167</v>
      </c>
      <c r="AH14" s="13">
        <f t="shared" si="9"/>
        <v>4</v>
      </c>
      <c r="AJ14" s="40" t="s">
        <v>37</v>
      </c>
      <c r="AK14" s="13" t="s">
        <v>25</v>
      </c>
      <c r="AN14" s="25">
        <f>IFERROR(HOUR($O$8)+DAY($O$8)*24,0)</f>
        <v>0</v>
      </c>
      <c r="AO14" s="26">
        <f>IFERROR(MINUTE($O$8),0)</f>
        <v>0</v>
      </c>
      <c r="AP14" s="27">
        <f>IFERROR(SECOND($O$8),0)</f>
        <v>0</v>
      </c>
    </row>
    <row r="15" spans="2:49" ht="15" thickBot="1" x14ac:dyDescent="0.35">
      <c r="C15" s="8">
        <v>3</v>
      </c>
      <c r="D15" s="9" t="str">
        <f t="shared" si="0"/>
        <v>QUI</v>
      </c>
      <c r="E15" s="18"/>
      <c r="F15" s="34"/>
      <c r="G15" s="35"/>
      <c r="H15" s="35"/>
      <c r="I15" s="36"/>
      <c r="J15" s="56">
        <f t="shared" si="1"/>
        <v>0</v>
      </c>
      <c r="K15" s="57">
        <f t="shared" si="10"/>
        <v>0.33333333333333331</v>
      </c>
      <c r="L15" s="57">
        <f t="shared" si="2"/>
        <v>0</v>
      </c>
      <c r="M15" s="57">
        <f t="shared" si="11"/>
        <v>0</v>
      </c>
      <c r="N15" s="57">
        <f t="shared" si="12"/>
        <v>0</v>
      </c>
      <c r="O15" s="58">
        <f t="shared" si="13"/>
        <v>0</v>
      </c>
      <c r="P15" s="59">
        <f t="shared" si="14"/>
        <v>0</v>
      </c>
      <c r="Q15" s="60">
        <f t="shared" si="15"/>
        <v>0</v>
      </c>
      <c r="R15" s="58" cm="1">
        <f t="array" ref="R15">adicionalNoturno4(AC15,AD15,AE15,AF15)</f>
        <v>0</v>
      </c>
      <c r="S15" s="58">
        <f t="shared" si="16"/>
        <v>0</v>
      </c>
      <c r="T15" s="58">
        <f t="shared" si="17"/>
        <v>0</v>
      </c>
      <c r="U15" s="59">
        <f t="shared" si="18"/>
        <v>0</v>
      </c>
      <c r="V15" s="56">
        <f t="shared" ref="V15:V43" si="20">IFERROR(M15+V14,0)</f>
        <v>0</v>
      </c>
      <c r="W15" s="61">
        <f t="shared" si="3"/>
        <v>0</v>
      </c>
      <c r="X15" s="61">
        <f t="shared" si="19"/>
        <v>0</v>
      </c>
      <c r="Y15" s="59">
        <f t="shared" ref="Y15:Y43" si="21">IFERROR(N15+Y14,0)</f>
        <v>0</v>
      </c>
      <c r="AC15" s="24">
        <f t="shared" si="4"/>
        <v>0</v>
      </c>
      <c r="AD15" s="24">
        <f t="shared" si="5"/>
        <v>0</v>
      </c>
      <c r="AE15" s="24">
        <f t="shared" si="6"/>
        <v>0</v>
      </c>
      <c r="AF15" s="24">
        <f t="shared" si="7"/>
        <v>0</v>
      </c>
      <c r="AG15" s="12">
        <f t="shared" si="8"/>
        <v>44168</v>
      </c>
      <c r="AH15" s="13">
        <f t="shared" si="9"/>
        <v>5</v>
      </c>
      <c r="AJ15" s="40" t="s">
        <v>38</v>
      </c>
      <c r="AK15" s="13" t="s">
        <v>27</v>
      </c>
      <c r="AN15" s="28">
        <f>IFERROR(HOUR($P$8)+(24*DAY($P$8)),0)</f>
        <v>0</v>
      </c>
      <c r="AO15" s="29">
        <f>IFERROR(MINUTE($P$8),0)</f>
        <v>0</v>
      </c>
      <c r="AP15" s="30">
        <f>IFERROR(SECOND($P$8),0)</f>
        <v>0</v>
      </c>
    </row>
    <row r="16" spans="2:49" x14ac:dyDescent="0.3">
      <c r="C16" s="8">
        <v>4</v>
      </c>
      <c r="D16" s="9" t="str">
        <f t="shared" si="0"/>
        <v>SEX</v>
      </c>
      <c r="E16" s="18"/>
      <c r="F16" s="34"/>
      <c r="G16" s="35"/>
      <c r="H16" s="35"/>
      <c r="I16" s="36"/>
      <c r="J16" s="56">
        <f t="shared" si="1"/>
        <v>0</v>
      </c>
      <c r="K16" s="57">
        <f t="shared" si="10"/>
        <v>0.33333333333333331</v>
      </c>
      <c r="L16" s="57">
        <f t="shared" si="2"/>
        <v>0</v>
      </c>
      <c r="M16" s="57">
        <f t="shared" si="11"/>
        <v>0</v>
      </c>
      <c r="N16" s="57">
        <f t="shared" si="12"/>
        <v>0</v>
      </c>
      <c r="O16" s="58">
        <f t="shared" si="13"/>
        <v>0</v>
      </c>
      <c r="P16" s="59">
        <f t="shared" si="14"/>
        <v>0</v>
      </c>
      <c r="Q16" s="60">
        <f t="shared" si="15"/>
        <v>0</v>
      </c>
      <c r="R16" s="58" cm="1">
        <f t="array" ref="R16">adicionalNoturno4(AC16,AD16,AE16,AF16)</f>
        <v>0</v>
      </c>
      <c r="S16" s="58">
        <f t="shared" si="16"/>
        <v>0</v>
      </c>
      <c r="T16" s="58">
        <f t="shared" si="17"/>
        <v>0</v>
      </c>
      <c r="U16" s="59">
        <f t="shared" si="18"/>
        <v>0</v>
      </c>
      <c r="V16" s="56">
        <f t="shared" si="20"/>
        <v>0</v>
      </c>
      <c r="W16" s="61">
        <f t="shared" si="3"/>
        <v>0</v>
      </c>
      <c r="X16" s="61">
        <f t="shared" si="19"/>
        <v>0</v>
      </c>
      <c r="Y16" s="59">
        <f t="shared" si="21"/>
        <v>0</v>
      </c>
      <c r="AC16" s="24">
        <f t="shared" si="4"/>
        <v>0</v>
      </c>
      <c r="AD16" s="24">
        <f t="shared" si="5"/>
        <v>0</v>
      </c>
      <c r="AE16" s="24">
        <f t="shared" si="6"/>
        <v>0</v>
      </c>
      <c r="AF16" s="24">
        <f t="shared" si="7"/>
        <v>0</v>
      </c>
      <c r="AG16" s="12">
        <f t="shared" si="8"/>
        <v>44169</v>
      </c>
      <c r="AH16" s="13">
        <f t="shared" si="9"/>
        <v>6</v>
      </c>
      <c r="AJ16" s="41" t="s">
        <v>22</v>
      </c>
      <c r="AK16" s="13" t="s">
        <v>26</v>
      </c>
    </row>
    <row r="17" spans="3:42" ht="15" thickBot="1" x14ac:dyDescent="0.35">
      <c r="C17" s="8">
        <v>5</v>
      </c>
      <c r="D17" s="9" t="str">
        <f t="shared" si="0"/>
        <v>SAB</v>
      </c>
      <c r="E17" s="18"/>
      <c r="F17" s="34"/>
      <c r="G17" s="35"/>
      <c r="H17" s="35"/>
      <c r="I17" s="36"/>
      <c r="J17" s="56">
        <f t="shared" si="1"/>
        <v>0</v>
      </c>
      <c r="K17" s="57">
        <f t="shared" si="10"/>
        <v>0.16666666666666666</v>
      </c>
      <c r="L17" s="57">
        <f t="shared" si="2"/>
        <v>0</v>
      </c>
      <c r="M17" s="57">
        <f t="shared" si="11"/>
        <v>0</v>
      </c>
      <c r="N17" s="57">
        <f t="shared" si="12"/>
        <v>0</v>
      </c>
      <c r="O17" s="58">
        <f t="shared" si="13"/>
        <v>0</v>
      </c>
      <c r="P17" s="59">
        <f t="shared" si="14"/>
        <v>0</v>
      </c>
      <c r="Q17" s="60">
        <f t="shared" si="15"/>
        <v>0</v>
      </c>
      <c r="R17" s="58" cm="1">
        <f t="array" ref="R17">adicionalNoturno4(AC17,AD17,AE17,AF17)</f>
        <v>0</v>
      </c>
      <c r="S17" s="58">
        <f t="shared" si="16"/>
        <v>0</v>
      </c>
      <c r="T17" s="58">
        <f t="shared" si="17"/>
        <v>0</v>
      </c>
      <c r="U17" s="59">
        <f t="shared" si="18"/>
        <v>0</v>
      </c>
      <c r="V17" s="56">
        <f t="shared" si="20"/>
        <v>0</v>
      </c>
      <c r="W17" s="61">
        <f t="shared" si="3"/>
        <v>0</v>
      </c>
      <c r="X17" s="61">
        <f t="shared" si="19"/>
        <v>0</v>
      </c>
      <c r="Y17" s="59">
        <f t="shared" si="21"/>
        <v>0</v>
      </c>
      <c r="AC17" s="24">
        <f t="shared" si="4"/>
        <v>0</v>
      </c>
      <c r="AD17" s="24">
        <f t="shared" si="5"/>
        <v>0</v>
      </c>
      <c r="AE17" s="24">
        <f t="shared" si="6"/>
        <v>0</v>
      </c>
      <c r="AF17" s="24">
        <f t="shared" si="7"/>
        <v>0</v>
      </c>
      <c r="AG17" s="12">
        <f t="shared" si="8"/>
        <v>44170</v>
      </c>
      <c r="AH17" s="13">
        <f t="shared" si="9"/>
        <v>7</v>
      </c>
      <c r="AP17" t="s">
        <v>43</v>
      </c>
    </row>
    <row r="18" spans="3:42" ht="15" thickBot="1" x14ac:dyDescent="0.35">
      <c r="C18" s="8">
        <v>6</v>
      </c>
      <c r="D18" s="9" t="str">
        <f t="shared" si="0"/>
        <v>DOM</v>
      </c>
      <c r="E18" s="18"/>
      <c r="F18" s="34"/>
      <c r="G18" s="35"/>
      <c r="H18" s="35"/>
      <c r="I18" s="36"/>
      <c r="J18" s="56">
        <f t="shared" si="1"/>
        <v>0</v>
      </c>
      <c r="K18" s="57">
        <f t="shared" si="10"/>
        <v>0.33333333333333331</v>
      </c>
      <c r="L18" s="57">
        <f t="shared" si="2"/>
        <v>0</v>
      </c>
      <c r="M18" s="57">
        <f t="shared" si="11"/>
        <v>0</v>
      </c>
      <c r="N18" s="57">
        <f t="shared" si="12"/>
        <v>0</v>
      </c>
      <c r="O18" s="58">
        <f t="shared" si="13"/>
        <v>0</v>
      </c>
      <c r="P18" s="59">
        <f t="shared" si="14"/>
        <v>0</v>
      </c>
      <c r="Q18" s="60">
        <f t="shared" si="15"/>
        <v>0</v>
      </c>
      <c r="R18" s="58" cm="1">
        <f t="array" ref="R18">adicionalNoturno4(AC18,AD18,AE18,AF18)</f>
        <v>0</v>
      </c>
      <c r="S18" s="58">
        <f t="shared" si="16"/>
        <v>0</v>
      </c>
      <c r="T18" s="58">
        <f t="shared" si="17"/>
        <v>0</v>
      </c>
      <c r="U18" s="59">
        <f t="shared" si="18"/>
        <v>0</v>
      </c>
      <c r="V18" s="56">
        <f t="shared" si="20"/>
        <v>0</v>
      </c>
      <c r="W18" s="61">
        <f t="shared" si="3"/>
        <v>0</v>
      </c>
      <c r="X18" s="61">
        <f t="shared" si="19"/>
        <v>0</v>
      </c>
      <c r="Y18" s="59">
        <f t="shared" si="21"/>
        <v>0</v>
      </c>
      <c r="AC18" s="24">
        <f t="shared" si="4"/>
        <v>0</v>
      </c>
      <c r="AD18" s="24">
        <f t="shared" si="5"/>
        <v>0</v>
      </c>
      <c r="AE18" s="24">
        <f t="shared" si="6"/>
        <v>0</v>
      </c>
      <c r="AF18" s="24">
        <f t="shared" si="7"/>
        <v>0</v>
      </c>
      <c r="AG18" s="12">
        <f t="shared" si="8"/>
        <v>44171</v>
      </c>
      <c r="AH18" s="13">
        <f t="shared" si="9"/>
        <v>1</v>
      </c>
      <c r="AM18" s="70">
        <f>DAY($E$9)</f>
        <v>1</v>
      </c>
      <c r="AN18" s="69">
        <f>MONTH($E$9)</f>
        <v>12</v>
      </c>
      <c r="AO18" s="69">
        <f>YEAR($E$9)</f>
        <v>2020</v>
      </c>
      <c r="AP18" s="71" t="str">
        <f>IF(QUOTIENT(AO18,4)*4=AO18,IF(QUOTIENT(AO18,100)*100=AO18,IF(QUOTIENT(AO18,400)*400=AO18,"SIM","NÃO"),"SIM"),"NÃO")</f>
        <v>SIM</v>
      </c>
    </row>
    <row r="19" spans="3:42" x14ac:dyDescent="0.3">
      <c r="C19" s="8">
        <v>7</v>
      </c>
      <c r="D19" s="9" t="str">
        <f t="shared" si="0"/>
        <v>SEG</v>
      </c>
      <c r="E19" s="18"/>
      <c r="F19" s="34"/>
      <c r="G19" s="35"/>
      <c r="H19" s="35"/>
      <c r="I19" s="36"/>
      <c r="J19" s="56">
        <f t="shared" si="1"/>
        <v>0</v>
      </c>
      <c r="K19" s="57">
        <f t="shared" si="10"/>
        <v>0.33333333333333331</v>
      </c>
      <c r="L19" s="57">
        <f t="shared" si="2"/>
        <v>0</v>
      </c>
      <c r="M19" s="57">
        <f t="shared" si="11"/>
        <v>0</v>
      </c>
      <c r="N19" s="57">
        <f t="shared" si="12"/>
        <v>0</v>
      </c>
      <c r="O19" s="58">
        <f t="shared" si="13"/>
        <v>0</v>
      </c>
      <c r="P19" s="59">
        <f t="shared" si="14"/>
        <v>0</v>
      </c>
      <c r="Q19" s="60">
        <f t="shared" si="15"/>
        <v>0</v>
      </c>
      <c r="R19" s="58" cm="1">
        <f t="array" ref="R19">adicionalNoturno4(AC19,AD19,AE19,AF19)</f>
        <v>0</v>
      </c>
      <c r="S19" s="58">
        <f t="shared" si="16"/>
        <v>0</v>
      </c>
      <c r="T19" s="58">
        <f t="shared" si="17"/>
        <v>0</v>
      </c>
      <c r="U19" s="59">
        <f t="shared" si="18"/>
        <v>0</v>
      </c>
      <c r="V19" s="56">
        <f t="shared" si="20"/>
        <v>0</v>
      </c>
      <c r="W19" s="61">
        <f t="shared" si="3"/>
        <v>0</v>
      </c>
      <c r="X19" s="61">
        <f t="shared" si="19"/>
        <v>0</v>
      </c>
      <c r="Y19" s="59">
        <f t="shared" si="21"/>
        <v>0</v>
      </c>
      <c r="AC19" s="24">
        <f t="shared" si="4"/>
        <v>0</v>
      </c>
      <c r="AD19" s="24">
        <f t="shared" si="5"/>
        <v>0</v>
      </c>
      <c r="AE19" s="24">
        <f t="shared" si="6"/>
        <v>0</v>
      </c>
      <c r="AF19" s="24">
        <f t="shared" si="7"/>
        <v>0</v>
      </c>
      <c r="AG19" s="12">
        <f t="shared" si="8"/>
        <v>44172</v>
      </c>
      <c r="AH19" s="13">
        <f t="shared" si="9"/>
        <v>2</v>
      </c>
    </row>
    <row r="20" spans="3:42" x14ac:dyDescent="0.3">
      <c r="C20" s="8">
        <v>8</v>
      </c>
      <c r="D20" s="9" t="str">
        <f t="shared" si="0"/>
        <v>TER</v>
      </c>
      <c r="E20" s="18"/>
      <c r="F20" s="34"/>
      <c r="G20" s="35"/>
      <c r="H20" s="35"/>
      <c r="I20" s="36"/>
      <c r="J20" s="56">
        <f t="shared" si="1"/>
        <v>0</v>
      </c>
      <c r="K20" s="57">
        <f t="shared" si="10"/>
        <v>0.33333333333333331</v>
      </c>
      <c r="L20" s="57">
        <f t="shared" si="2"/>
        <v>0</v>
      </c>
      <c r="M20" s="57">
        <f t="shared" si="11"/>
        <v>0</v>
      </c>
      <c r="N20" s="57">
        <f t="shared" si="12"/>
        <v>0</v>
      </c>
      <c r="O20" s="58">
        <f t="shared" si="13"/>
        <v>0</v>
      </c>
      <c r="P20" s="59">
        <f t="shared" si="14"/>
        <v>0</v>
      </c>
      <c r="Q20" s="60">
        <f t="shared" si="15"/>
        <v>0</v>
      </c>
      <c r="R20" s="58" cm="1">
        <f t="array" ref="R20">adicionalNoturno4(AC20,AD20,AE20,AF20)</f>
        <v>0</v>
      </c>
      <c r="S20" s="58">
        <f t="shared" si="16"/>
        <v>0</v>
      </c>
      <c r="T20" s="58">
        <f t="shared" si="17"/>
        <v>0</v>
      </c>
      <c r="U20" s="59">
        <f t="shared" si="18"/>
        <v>0</v>
      </c>
      <c r="V20" s="56">
        <f t="shared" si="20"/>
        <v>0</v>
      </c>
      <c r="W20" s="61">
        <f t="shared" ref="W20:W40" si="22">IF(OR(E20="foj",AND(F20&lt;&gt;"",G20&lt;&gt;"",H20&lt;&gt;"",I20&lt;&gt;"")),IF(AA20&gt;V20,(HOUR(AA20)+MINUTE(AA20)/60)-(HOUR(V20)+MINUTE(V20)/60),(-1)*(HOUR(AA20)+MINUTE(AA20)/60)-(HOUR(V20)+MINUTE(V20)/60)),0)</f>
        <v>0</v>
      </c>
      <c r="X20" s="61">
        <f t="shared" si="19"/>
        <v>0</v>
      </c>
      <c r="Y20" s="59">
        <f t="shared" si="21"/>
        <v>0</v>
      </c>
      <c r="AC20" s="24">
        <f t="shared" si="4"/>
        <v>0</v>
      </c>
      <c r="AD20" s="24">
        <f t="shared" si="5"/>
        <v>0</v>
      </c>
      <c r="AE20" s="24">
        <f t="shared" si="6"/>
        <v>0</v>
      </c>
      <c r="AF20" s="24">
        <f t="shared" si="7"/>
        <v>0</v>
      </c>
      <c r="AG20" s="12">
        <f t="shared" si="8"/>
        <v>44173</v>
      </c>
      <c r="AH20" s="13">
        <f t="shared" si="9"/>
        <v>3</v>
      </c>
      <c r="AJ20" s="72"/>
      <c r="AK20" s="72"/>
    </row>
    <row r="21" spans="3:42" x14ac:dyDescent="0.3">
      <c r="C21" s="8">
        <v>9</v>
      </c>
      <c r="D21" s="9" t="str">
        <f t="shared" si="0"/>
        <v>QUA</v>
      </c>
      <c r="E21" s="18"/>
      <c r="F21" s="34"/>
      <c r="G21" s="35"/>
      <c r="H21" s="35"/>
      <c r="I21" s="36"/>
      <c r="J21" s="56">
        <f t="shared" si="1"/>
        <v>0</v>
      </c>
      <c r="K21" s="57">
        <f t="shared" si="10"/>
        <v>0.33333333333333331</v>
      </c>
      <c r="L21" s="57">
        <f t="shared" si="2"/>
        <v>0</v>
      </c>
      <c r="M21" s="57">
        <f t="shared" si="11"/>
        <v>0</v>
      </c>
      <c r="N21" s="57">
        <f t="shared" si="12"/>
        <v>0</v>
      </c>
      <c r="O21" s="58">
        <f t="shared" si="13"/>
        <v>0</v>
      </c>
      <c r="P21" s="59">
        <f t="shared" si="14"/>
        <v>0</v>
      </c>
      <c r="Q21" s="60">
        <f t="shared" si="15"/>
        <v>0</v>
      </c>
      <c r="R21" s="58" cm="1">
        <f t="array" ref="R21">adicionalNoturno4(AC21,AD21,AE21,AF21)</f>
        <v>0</v>
      </c>
      <c r="S21" s="58">
        <f t="shared" si="16"/>
        <v>0</v>
      </c>
      <c r="T21" s="58">
        <f t="shared" si="17"/>
        <v>0</v>
      </c>
      <c r="U21" s="59">
        <f t="shared" si="18"/>
        <v>0</v>
      </c>
      <c r="V21" s="56">
        <f t="shared" si="20"/>
        <v>0</v>
      </c>
      <c r="W21" s="61">
        <f t="shared" si="22"/>
        <v>0</v>
      </c>
      <c r="X21" s="61">
        <f t="shared" si="19"/>
        <v>0</v>
      </c>
      <c r="Y21" s="59">
        <f t="shared" si="21"/>
        <v>0</v>
      </c>
      <c r="AC21" s="24">
        <f t="shared" si="4"/>
        <v>0</v>
      </c>
      <c r="AD21" s="24">
        <f t="shared" si="5"/>
        <v>0</v>
      </c>
      <c r="AE21" s="24">
        <f t="shared" si="6"/>
        <v>0</v>
      </c>
      <c r="AF21" s="24">
        <f t="shared" si="7"/>
        <v>0</v>
      </c>
      <c r="AG21" s="12">
        <f t="shared" si="8"/>
        <v>44174</v>
      </c>
      <c r="AH21" s="13">
        <f t="shared" si="9"/>
        <v>4</v>
      </c>
      <c r="AJ21" s="72"/>
      <c r="AK21" s="72"/>
    </row>
    <row r="22" spans="3:42" x14ac:dyDescent="0.3">
      <c r="C22" s="8">
        <v>10</v>
      </c>
      <c r="D22" s="9" t="str">
        <f t="shared" si="0"/>
        <v>QUI</v>
      </c>
      <c r="E22" s="18"/>
      <c r="F22" s="34"/>
      <c r="G22" s="35"/>
      <c r="H22" s="35"/>
      <c r="I22" s="36"/>
      <c r="J22" s="56">
        <f t="shared" si="1"/>
        <v>0</v>
      </c>
      <c r="K22" s="57">
        <f t="shared" si="10"/>
        <v>0.33333333333333331</v>
      </c>
      <c r="L22" s="57">
        <f t="shared" si="2"/>
        <v>0</v>
      </c>
      <c r="M22" s="57">
        <f t="shared" si="11"/>
        <v>0</v>
      </c>
      <c r="N22" s="57">
        <f t="shared" si="12"/>
        <v>0</v>
      </c>
      <c r="O22" s="58">
        <f t="shared" si="13"/>
        <v>0</v>
      </c>
      <c r="P22" s="59">
        <f t="shared" si="14"/>
        <v>0</v>
      </c>
      <c r="Q22" s="60">
        <f t="shared" si="15"/>
        <v>0</v>
      </c>
      <c r="R22" s="58" cm="1">
        <f t="array" ref="R22">adicionalNoturno4(AC22,AD22,AE22,AF22)</f>
        <v>0</v>
      </c>
      <c r="S22" s="58">
        <f t="shared" si="16"/>
        <v>0</v>
      </c>
      <c r="T22" s="58">
        <f t="shared" si="17"/>
        <v>0</v>
      </c>
      <c r="U22" s="59">
        <f t="shared" si="18"/>
        <v>0</v>
      </c>
      <c r="V22" s="56">
        <f t="shared" si="20"/>
        <v>0</v>
      </c>
      <c r="W22" s="61">
        <f t="shared" si="22"/>
        <v>0</v>
      </c>
      <c r="X22" s="61">
        <f t="shared" si="19"/>
        <v>0</v>
      </c>
      <c r="Y22" s="59">
        <f t="shared" si="21"/>
        <v>0</v>
      </c>
      <c r="AC22" s="24">
        <f t="shared" si="4"/>
        <v>0</v>
      </c>
      <c r="AD22" s="24">
        <f t="shared" si="5"/>
        <v>0</v>
      </c>
      <c r="AE22" s="24">
        <f t="shared" si="6"/>
        <v>0</v>
      </c>
      <c r="AF22" s="24">
        <f t="shared" si="7"/>
        <v>0</v>
      </c>
      <c r="AG22" s="12">
        <f t="shared" si="8"/>
        <v>44175</v>
      </c>
      <c r="AH22" s="13">
        <f t="shared" si="9"/>
        <v>5</v>
      </c>
      <c r="AJ22" s="72"/>
      <c r="AK22" s="72"/>
    </row>
    <row r="23" spans="3:42" x14ac:dyDescent="0.3">
      <c r="C23" s="8">
        <v>11</v>
      </c>
      <c r="D23" s="9" t="str">
        <f t="shared" si="0"/>
        <v>SEX</v>
      </c>
      <c r="E23" s="18"/>
      <c r="F23" s="34"/>
      <c r="G23" s="35"/>
      <c r="H23" s="35"/>
      <c r="I23" s="36"/>
      <c r="J23" s="56">
        <f t="shared" si="1"/>
        <v>0</v>
      </c>
      <c r="K23" s="57">
        <f t="shared" si="10"/>
        <v>0.33333333333333331</v>
      </c>
      <c r="L23" s="57">
        <f t="shared" si="2"/>
        <v>0</v>
      </c>
      <c r="M23" s="57">
        <f t="shared" si="11"/>
        <v>0</v>
      </c>
      <c r="N23" s="57">
        <f t="shared" si="12"/>
        <v>0</v>
      </c>
      <c r="O23" s="58">
        <f t="shared" si="13"/>
        <v>0</v>
      </c>
      <c r="P23" s="59">
        <f t="shared" si="14"/>
        <v>0</v>
      </c>
      <c r="Q23" s="60">
        <f t="shared" si="15"/>
        <v>0</v>
      </c>
      <c r="R23" s="58" cm="1">
        <f t="array" ref="R23">adicionalNoturno4(AC23,AD23,AE23,AF23)</f>
        <v>0</v>
      </c>
      <c r="S23" s="58">
        <f t="shared" si="16"/>
        <v>0</v>
      </c>
      <c r="T23" s="58">
        <f t="shared" si="17"/>
        <v>0</v>
      </c>
      <c r="U23" s="59">
        <f t="shared" si="18"/>
        <v>0</v>
      </c>
      <c r="V23" s="56">
        <f t="shared" si="20"/>
        <v>0</v>
      </c>
      <c r="W23" s="61">
        <f t="shared" si="22"/>
        <v>0</v>
      </c>
      <c r="X23" s="61">
        <f t="shared" si="19"/>
        <v>0</v>
      </c>
      <c r="Y23" s="59">
        <f t="shared" si="21"/>
        <v>0</v>
      </c>
      <c r="AC23" s="24">
        <f t="shared" si="4"/>
        <v>0</v>
      </c>
      <c r="AD23" s="24">
        <f t="shared" si="5"/>
        <v>0</v>
      </c>
      <c r="AE23" s="24">
        <f t="shared" si="6"/>
        <v>0</v>
      </c>
      <c r="AF23" s="24">
        <f t="shared" si="7"/>
        <v>0</v>
      </c>
      <c r="AG23" s="12">
        <f t="shared" si="8"/>
        <v>44176</v>
      </c>
      <c r="AH23" s="13">
        <f t="shared" si="9"/>
        <v>6</v>
      </c>
      <c r="AJ23" s="72"/>
      <c r="AK23" s="72"/>
    </row>
    <row r="24" spans="3:42" x14ac:dyDescent="0.3">
      <c r="C24" s="8">
        <v>12</v>
      </c>
      <c r="D24" s="9" t="str">
        <f t="shared" si="0"/>
        <v>SAB</v>
      </c>
      <c r="E24" s="18"/>
      <c r="F24" s="34"/>
      <c r="G24" s="35"/>
      <c r="H24" s="35"/>
      <c r="I24" s="36"/>
      <c r="J24" s="56">
        <f t="shared" si="1"/>
        <v>0</v>
      </c>
      <c r="K24" s="57">
        <f t="shared" si="10"/>
        <v>0.16666666666666666</v>
      </c>
      <c r="L24" s="57">
        <f t="shared" si="2"/>
        <v>0</v>
      </c>
      <c r="M24" s="57">
        <f t="shared" si="11"/>
        <v>0</v>
      </c>
      <c r="N24" s="57">
        <f t="shared" si="12"/>
        <v>0</v>
      </c>
      <c r="O24" s="58">
        <f t="shared" si="13"/>
        <v>0</v>
      </c>
      <c r="P24" s="59">
        <f t="shared" si="14"/>
        <v>0</v>
      </c>
      <c r="Q24" s="60">
        <f t="shared" si="15"/>
        <v>0</v>
      </c>
      <c r="R24" s="58" cm="1">
        <f t="array" ref="R24">adicionalNoturno4(AC24,AD24,AE24,AF24)</f>
        <v>0</v>
      </c>
      <c r="S24" s="58">
        <f t="shared" si="16"/>
        <v>0</v>
      </c>
      <c r="T24" s="58">
        <f t="shared" si="17"/>
        <v>0</v>
      </c>
      <c r="U24" s="59">
        <f t="shared" si="18"/>
        <v>0</v>
      </c>
      <c r="V24" s="56">
        <f t="shared" si="20"/>
        <v>0</v>
      </c>
      <c r="W24" s="61">
        <f t="shared" si="22"/>
        <v>0</v>
      </c>
      <c r="X24" s="61">
        <f t="shared" si="19"/>
        <v>0</v>
      </c>
      <c r="Y24" s="59">
        <f t="shared" si="21"/>
        <v>0</v>
      </c>
      <c r="AC24" s="24">
        <f t="shared" si="4"/>
        <v>0</v>
      </c>
      <c r="AD24" s="24">
        <f t="shared" si="5"/>
        <v>0</v>
      </c>
      <c r="AE24" s="24">
        <f t="shared" si="6"/>
        <v>0</v>
      </c>
      <c r="AF24" s="24">
        <f t="shared" si="7"/>
        <v>0</v>
      </c>
      <c r="AG24" s="12">
        <f t="shared" si="8"/>
        <v>44177</v>
      </c>
      <c r="AH24" s="13">
        <f t="shared" si="9"/>
        <v>7</v>
      </c>
      <c r="AJ24" s="72"/>
      <c r="AK24" s="72"/>
    </row>
    <row r="25" spans="3:42" x14ac:dyDescent="0.3">
      <c r="C25" s="8">
        <v>13</v>
      </c>
      <c r="D25" s="9" t="str">
        <f t="shared" si="0"/>
        <v>DOM</v>
      </c>
      <c r="E25" s="18"/>
      <c r="F25" s="34"/>
      <c r="G25" s="35"/>
      <c r="H25" s="35"/>
      <c r="I25" s="36"/>
      <c r="J25" s="56">
        <f t="shared" si="1"/>
        <v>0</v>
      </c>
      <c r="K25" s="57">
        <f t="shared" si="10"/>
        <v>0.33333333333333331</v>
      </c>
      <c r="L25" s="57">
        <f t="shared" si="2"/>
        <v>0</v>
      </c>
      <c r="M25" s="57">
        <f t="shared" si="11"/>
        <v>0</v>
      </c>
      <c r="N25" s="57">
        <f t="shared" si="12"/>
        <v>0</v>
      </c>
      <c r="O25" s="58">
        <f t="shared" si="13"/>
        <v>0</v>
      </c>
      <c r="P25" s="59">
        <f t="shared" si="14"/>
        <v>0</v>
      </c>
      <c r="Q25" s="60">
        <f t="shared" si="15"/>
        <v>0</v>
      </c>
      <c r="R25" s="58" cm="1">
        <f t="array" ref="R25">adicionalNoturno4(AC25,AD25,AE25,AF25)</f>
        <v>0</v>
      </c>
      <c r="S25" s="58">
        <f t="shared" si="16"/>
        <v>0</v>
      </c>
      <c r="T25" s="58">
        <f t="shared" si="17"/>
        <v>0</v>
      </c>
      <c r="U25" s="59">
        <f t="shared" si="18"/>
        <v>0</v>
      </c>
      <c r="V25" s="56">
        <f t="shared" si="20"/>
        <v>0</v>
      </c>
      <c r="W25" s="61">
        <f t="shared" si="22"/>
        <v>0</v>
      </c>
      <c r="X25" s="61">
        <f t="shared" si="19"/>
        <v>0</v>
      </c>
      <c r="Y25" s="59">
        <f t="shared" si="21"/>
        <v>0</v>
      </c>
      <c r="AC25" s="24">
        <f t="shared" si="4"/>
        <v>0</v>
      </c>
      <c r="AD25" s="24">
        <f t="shared" si="5"/>
        <v>0</v>
      </c>
      <c r="AE25" s="24">
        <f t="shared" si="6"/>
        <v>0</v>
      </c>
      <c r="AF25" s="24">
        <f t="shared" si="7"/>
        <v>0</v>
      </c>
      <c r="AG25" s="12">
        <f t="shared" si="8"/>
        <v>44178</v>
      </c>
      <c r="AH25" s="13">
        <f t="shared" si="9"/>
        <v>1</v>
      </c>
      <c r="AJ25" s="72"/>
      <c r="AK25" s="72"/>
    </row>
    <row r="26" spans="3:42" x14ac:dyDescent="0.3">
      <c r="C26" s="8">
        <v>14</v>
      </c>
      <c r="D26" s="9" t="str">
        <f t="shared" si="0"/>
        <v>SEG</v>
      </c>
      <c r="E26" s="18"/>
      <c r="F26" s="34"/>
      <c r="G26" s="35"/>
      <c r="H26" s="35"/>
      <c r="I26" s="36"/>
      <c r="J26" s="56">
        <f t="shared" si="1"/>
        <v>0</v>
      </c>
      <c r="K26" s="57">
        <f t="shared" si="10"/>
        <v>0.33333333333333331</v>
      </c>
      <c r="L26" s="57">
        <f t="shared" si="2"/>
        <v>0</v>
      </c>
      <c r="M26" s="57">
        <f t="shared" si="11"/>
        <v>0</v>
      </c>
      <c r="N26" s="57">
        <f t="shared" si="12"/>
        <v>0</v>
      </c>
      <c r="O26" s="58">
        <f t="shared" si="13"/>
        <v>0</v>
      </c>
      <c r="P26" s="59">
        <f t="shared" si="14"/>
        <v>0</v>
      </c>
      <c r="Q26" s="60">
        <f t="shared" si="15"/>
        <v>0</v>
      </c>
      <c r="R26" s="58" cm="1">
        <f t="array" ref="R26">adicionalNoturno4(AC26,AD26,AE26,AF26)</f>
        <v>0</v>
      </c>
      <c r="S26" s="58">
        <f t="shared" si="16"/>
        <v>0</v>
      </c>
      <c r="T26" s="58">
        <f t="shared" si="17"/>
        <v>0</v>
      </c>
      <c r="U26" s="59">
        <f t="shared" si="18"/>
        <v>0</v>
      </c>
      <c r="V26" s="56">
        <f t="shared" si="20"/>
        <v>0</v>
      </c>
      <c r="W26" s="61">
        <f t="shared" si="22"/>
        <v>0</v>
      </c>
      <c r="X26" s="61">
        <f t="shared" si="19"/>
        <v>0</v>
      </c>
      <c r="Y26" s="59">
        <f t="shared" si="21"/>
        <v>0</v>
      </c>
      <c r="AC26" s="24">
        <f t="shared" si="4"/>
        <v>0</v>
      </c>
      <c r="AD26" s="24">
        <f t="shared" si="5"/>
        <v>0</v>
      </c>
      <c r="AE26" s="24">
        <f t="shared" si="6"/>
        <v>0</v>
      </c>
      <c r="AF26" s="24">
        <f t="shared" si="7"/>
        <v>0</v>
      </c>
      <c r="AG26" s="12">
        <f t="shared" si="8"/>
        <v>44179</v>
      </c>
      <c r="AH26" s="13">
        <f t="shared" si="9"/>
        <v>2</v>
      </c>
      <c r="AJ26" s="72"/>
      <c r="AK26" s="72"/>
    </row>
    <row r="27" spans="3:42" x14ac:dyDescent="0.3">
      <c r="C27" s="8">
        <v>15</v>
      </c>
      <c r="D27" s="9" t="str">
        <f t="shared" si="0"/>
        <v>TER</v>
      </c>
      <c r="E27" s="18"/>
      <c r="F27" s="34"/>
      <c r="G27" s="35"/>
      <c r="H27" s="35"/>
      <c r="I27" s="36"/>
      <c r="J27" s="56">
        <f t="shared" si="1"/>
        <v>0</v>
      </c>
      <c r="K27" s="57">
        <f t="shared" si="10"/>
        <v>0.33333333333333331</v>
      </c>
      <c r="L27" s="57">
        <f t="shared" si="2"/>
        <v>0</v>
      </c>
      <c r="M27" s="57">
        <f t="shared" si="11"/>
        <v>0</v>
      </c>
      <c r="N27" s="57">
        <f t="shared" si="12"/>
        <v>0</v>
      </c>
      <c r="O27" s="58">
        <f t="shared" si="13"/>
        <v>0</v>
      </c>
      <c r="P27" s="59">
        <f t="shared" si="14"/>
        <v>0</v>
      </c>
      <c r="Q27" s="60">
        <f t="shared" si="15"/>
        <v>0</v>
      </c>
      <c r="R27" s="58" cm="1">
        <f t="array" ref="R27">adicionalNoturno4(AC27,AD27,AE27,AF27)</f>
        <v>0</v>
      </c>
      <c r="S27" s="58">
        <f t="shared" si="16"/>
        <v>0</v>
      </c>
      <c r="T27" s="58">
        <f t="shared" si="17"/>
        <v>0</v>
      </c>
      <c r="U27" s="59">
        <f t="shared" si="18"/>
        <v>0</v>
      </c>
      <c r="V27" s="56">
        <f t="shared" si="20"/>
        <v>0</v>
      </c>
      <c r="W27" s="61">
        <f t="shared" si="22"/>
        <v>0</v>
      </c>
      <c r="X27" s="61">
        <f t="shared" si="19"/>
        <v>0</v>
      </c>
      <c r="Y27" s="59">
        <f t="shared" si="21"/>
        <v>0</v>
      </c>
      <c r="AC27" s="24">
        <f t="shared" si="4"/>
        <v>0</v>
      </c>
      <c r="AD27" s="24">
        <f t="shared" si="5"/>
        <v>0</v>
      </c>
      <c r="AE27" s="24">
        <f t="shared" si="6"/>
        <v>0</v>
      </c>
      <c r="AF27" s="24">
        <f t="shared" si="7"/>
        <v>0</v>
      </c>
      <c r="AG27" s="12">
        <f t="shared" si="8"/>
        <v>44180</v>
      </c>
      <c r="AH27" s="13">
        <f t="shared" si="9"/>
        <v>3</v>
      </c>
    </row>
    <row r="28" spans="3:42" x14ac:dyDescent="0.3">
      <c r="C28" s="8">
        <v>16</v>
      </c>
      <c r="D28" s="9" t="str">
        <f t="shared" si="0"/>
        <v>QUA</v>
      </c>
      <c r="E28" s="18"/>
      <c r="F28" s="34"/>
      <c r="G28" s="35"/>
      <c r="H28" s="35"/>
      <c r="I28" s="36"/>
      <c r="J28" s="56">
        <f t="shared" si="1"/>
        <v>0</v>
      </c>
      <c r="K28" s="57">
        <f t="shared" si="10"/>
        <v>0.33333333333333331</v>
      </c>
      <c r="L28" s="57">
        <f t="shared" si="2"/>
        <v>0</v>
      </c>
      <c r="M28" s="57">
        <f t="shared" si="11"/>
        <v>0</v>
      </c>
      <c r="N28" s="57">
        <f t="shared" si="12"/>
        <v>0</v>
      </c>
      <c r="O28" s="58">
        <f t="shared" si="13"/>
        <v>0</v>
      </c>
      <c r="P28" s="59">
        <f t="shared" si="14"/>
        <v>0</v>
      </c>
      <c r="Q28" s="60">
        <f t="shared" si="15"/>
        <v>0</v>
      </c>
      <c r="R28" s="58" cm="1">
        <f t="array" ref="R28">adicionalNoturno4(AC28,AD28,AE28,AF28)</f>
        <v>0</v>
      </c>
      <c r="S28" s="58">
        <f t="shared" si="16"/>
        <v>0</v>
      </c>
      <c r="T28" s="58">
        <f t="shared" si="17"/>
        <v>0</v>
      </c>
      <c r="U28" s="59">
        <f t="shared" si="18"/>
        <v>0</v>
      </c>
      <c r="V28" s="56">
        <f t="shared" si="20"/>
        <v>0</v>
      </c>
      <c r="W28" s="61">
        <f t="shared" si="22"/>
        <v>0</v>
      </c>
      <c r="X28" s="61">
        <f t="shared" si="19"/>
        <v>0</v>
      </c>
      <c r="Y28" s="59">
        <f t="shared" si="21"/>
        <v>0</v>
      </c>
      <c r="AC28" s="24">
        <f t="shared" si="4"/>
        <v>0</v>
      </c>
      <c r="AD28" s="24">
        <f t="shared" si="5"/>
        <v>0</v>
      </c>
      <c r="AE28" s="24">
        <f t="shared" si="6"/>
        <v>0</v>
      </c>
      <c r="AF28" s="24">
        <f t="shared" si="7"/>
        <v>0</v>
      </c>
      <c r="AG28" s="12">
        <f t="shared" si="8"/>
        <v>44181</v>
      </c>
      <c r="AH28" s="13">
        <f t="shared" si="9"/>
        <v>4</v>
      </c>
      <c r="AJ28" s="72"/>
    </row>
    <row r="29" spans="3:42" x14ac:dyDescent="0.3">
      <c r="C29" s="8">
        <v>17</v>
      </c>
      <c r="D29" s="9" t="str">
        <f t="shared" si="0"/>
        <v>QUI</v>
      </c>
      <c r="E29" s="18"/>
      <c r="F29" s="34"/>
      <c r="G29" s="35"/>
      <c r="H29" s="35"/>
      <c r="I29" s="36"/>
      <c r="J29" s="56">
        <f t="shared" si="1"/>
        <v>0</v>
      </c>
      <c r="K29" s="57">
        <f t="shared" si="10"/>
        <v>0.33333333333333331</v>
      </c>
      <c r="L29" s="57">
        <f t="shared" si="2"/>
        <v>0</v>
      </c>
      <c r="M29" s="57">
        <f t="shared" si="11"/>
        <v>0</v>
      </c>
      <c r="N29" s="57">
        <f t="shared" si="12"/>
        <v>0</v>
      </c>
      <c r="O29" s="58">
        <f t="shared" si="13"/>
        <v>0</v>
      </c>
      <c r="P29" s="59">
        <f t="shared" si="14"/>
        <v>0</v>
      </c>
      <c r="Q29" s="60">
        <f t="shared" si="15"/>
        <v>0</v>
      </c>
      <c r="R29" s="58" cm="1">
        <f t="array" ref="R29">adicionalNoturno4(AC29,AD29,AE29,AF29)</f>
        <v>0</v>
      </c>
      <c r="S29" s="58">
        <f t="shared" si="16"/>
        <v>0</v>
      </c>
      <c r="T29" s="58">
        <f t="shared" si="17"/>
        <v>0</v>
      </c>
      <c r="U29" s="59">
        <f t="shared" si="18"/>
        <v>0</v>
      </c>
      <c r="V29" s="56">
        <f t="shared" si="20"/>
        <v>0</v>
      </c>
      <c r="W29" s="61">
        <f t="shared" si="22"/>
        <v>0</v>
      </c>
      <c r="X29" s="61">
        <f t="shared" si="19"/>
        <v>0</v>
      </c>
      <c r="Y29" s="59">
        <f t="shared" si="21"/>
        <v>0</v>
      </c>
      <c r="AC29" s="24">
        <f t="shared" si="4"/>
        <v>0</v>
      </c>
      <c r="AD29" s="24">
        <f t="shared" si="5"/>
        <v>0</v>
      </c>
      <c r="AE29" s="24">
        <f t="shared" si="6"/>
        <v>0</v>
      </c>
      <c r="AF29" s="24">
        <f t="shared" si="7"/>
        <v>0</v>
      </c>
      <c r="AG29" s="12">
        <f t="shared" si="8"/>
        <v>44182</v>
      </c>
      <c r="AH29" s="13">
        <f t="shared" si="9"/>
        <v>5</v>
      </c>
      <c r="AJ29" s="72"/>
    </row>
    <row r="30" spans="3:42" x14ac:dyDescent="0.3">
      <c r="C30" s="8">
        <v>18</v>
      </c>
      <c r="D30" s="9" t="str">
        <f t="shared" si="0"/>
        <v>SEX</v>
      </c>
      <c r="E30" s="18"/>
      <c r="F30" s="34"/>
      <c r="G30" s="35"/>
      <c r="H30" s="35"/>
      <c r="I30" s="36"/>
      <c r="J30" s="56">
        <f t="shared" si="1"/>
        <v>0</v>
      </c>
      <c r="K30" s="57">
        <f t="shared" si="10"/>
        <v>0.33333333333333331</v>
      </c>
      <c r="L30" s="57">
        <f t="shared" si="2"/>
        <v>0</v>
      </c>
      <c r="M30" s="57">
        <f t="shared" si="11"/>
        <v>0</v>
      </c>
      <c r="N30" s="57">
        <f t="shared" si="12"/>
        <v>0</v>
      </c>
      <c r="O30" s="58">
        <f t="shared" si="13"/>
        <v>0</v>
      </c>
      <c r="P30" s="59">
        <f t="shared" si="14"/>
        <v>0</v>
      </c>
      <c r="Q30" s="60">
        <f t="shared" si="15"/>
        <v>0</v>
      </c>
      <c r="R30" s="58" cm="1">
        <f t="array" ref="R30">adicionalNoturno4(AC30,AD30,AE30,AF30)</f>
        <v>0</v>
      </c>
      <c r="S30" s="58">
        <f t="shared" si="16"/>
        <v>0</v>
      </c>
      <c r="T30" s="58">
        <f t="shared" si="17"/>
        <v>0</v>
      </c>
      <c r="U30" s="59">
        <f t="shared" si="18"/>
        <v>0</v>
      </c>
      <c r="V30" s="56">
        <f t="shared" si="20"/>
        <v>0</v>
      </c>
      <c r="W30" s="61">
        <f t="shared" si="22"/>
        <v>0</v>
      </c>
      <c r="X30" s="61">
        <f t="shared" si="19"/>
        <v>0</v>
      </c>
      <c r="Y30" s="59">
        <f t="shared" si="21"/>
        <v>0</v>
      </c>
      <c r="AC30" s="24">
        <f t="shared" si="4"/>
        <v>0</v>
      </c>
      <c r="AD30" s="24">
        <f t="shared" si="5"/>
        <v>0</v>
      </c>
      <c r="AE30" s="24">
        <f t="shared" si="6"/>
        <v>0</v>
      </c>
      <c r="AF30" s="24">
        <f t="shared" si="7"/>
        <v>0</v>
      </c>
      <c r="AG30" s="12">
        <f t="shared" si="8"/>
        <v>44183</v>
      </c>
      <c r="AH30" s="13">
        <f t="shared" si="9"/>
        <v>6</v>
      </c>
    </row>
    <row r="31" spans="3:42" x14ac:dyDescent="0.3">
      <c r="C31" s="8">
        <v>19</v>
      </c>
      <c r="D31" s="9" t="str">
        <f t="shared" si="0"/>
        <v>SAB</v>
      </c>
      <c r="E31" s="18"/>
      <c r="F31" s="34"/>
      <c r="G31" s="35"/>
      <c r="H31" s="35"/>
      <c r="I31" s="36"/>
      <c r="J31" s="56">
        <f t="shared" si="1"/>
        <v>0</v>
      </c>
      <c r="K31" s="57">
        <f t="shared" si="10"/>
        <v>0.16666666666666666</v>
      </c>
      <c r="L31" s="57">
        <f t="shared" si="2"/>
        <v>0</v>
      </c>
      <c r="M31" s="57">
        <f t="shared" si="11"/>
        <v>0</v>
      </c>
      <c r="N31" s="57">
        <f t="shared" si="12"/>
        <v>0</v>
      </c>
      <c r="O31" s="58">
        <f t="shared" si="13"/>
        <v>0</v>
      </c>
      <c r="P31" s="59">
        <f t="shared" si="14"/>
        <v>0</v>
      </c>
      <c r="Q31" s="60">
        <f t="shared" si="15"/>
        <v>0</v>
      </c>
      <c r="R31" s="58" cm="1">
        <f t="array" ref="R31">adicionalNoturno4(AC31,AD31,AE31,AF31)</f>
        <v>0</v>
      </c>
      <c r="S31" s="58">
        <f t="shared" si="16"/>
        <v>0</v>
      </c>
      <c r="T31" s="58">
        <f t="shared" si="17"/>
        <v>0</v>
      </c>
      <c r="U31" s="59">
        <f t="shared" si="18"/>
        <v>0</v>
      </c>
      <c r="V31" s="56">
        <f t="shared" si="20"/>
        <v>0</v>
      </c>
      <c r="W31" s="61">
        <f t="shared" si="22"/>
        <v>0</v>
      </c>
      <c r="X31" s="61">
        <f t="shared" si="19"/>
        <v>0</v>
      </c>
      <c r="Y31" s="59">
        <f t="shared" si="21"/>
        <v>0</v>
      </c>
      <c r="AC31" s="24">
        <f t="shared" si="4"/>
        <v>0</v>
      </c>
      <c r="AD31" s="24">
        <f t="shared" si="5"/>
        <v>0</v>
      </c>
      <c r="AE31" s="24">
        <f t="shared" si="6"/>
        <v>0</v>
      </c>
      <c r="AF31" s="24">
        <f t="shared" si="7"/>
        <v>0</v>
      </c>
      <c r="AG31" s="12">
        <f t="shared" si="8"/>
        <v>44184</v>
      </c>
      <c r="AH31" s="13">
        <f t="shared" si="9"/>
        <v>7</v>
      </c>
    </row>
    <row r="32" spans="3:42" x14ac:dyDescent="0.3">
      <c r="C32" s="8">
        <v>20</v>
      </c>
      <c r="D32" s="9" t="str">
        <f t="shared" si="0"/>
        <v>DOM</v>
      </c>
      <c r="E32" s="18"/>
      <c r="F32" s="34"/>
      <c r="G32" s="35"/>
      <c r="H32" s="35"/>
      <c r="I32" s="36"/>
      <c r="J32" s="56">
        <f t="shared" si="1"/>
        <v>0</v>
      </c>
      <c r="K32" s="57">
        <f t="shared" si="10"/>
        <v>0.33333333333333331</v>
      </c>
      <c r="L32" s="57">
        <f t="shared" si="2"/>
        <v>0</v>
      </c>
      <c r="M32" s="57">
        <f t="shared" si="11"/>
        <v>0</v>
      </c>
      <c r="N32" s="57">
        <f t="shared" si="12"/>
        <v>0</v>
      </c>
      <c r="O32" s="58">
        <f t="shared" si="13"/>
        <v>0</v>
      </c>
      <c r="P32" s="59">
        <f t="shared" si="14"/>
        <v>0</v>
      </c>
      <c r="Q32" s="60">
        <f t="shared" si="15"/>
        <v>0</v>
      </c>
      <c r="R32" s="58" cm="1">
        <f t="array" ref="R32">adicionalNoturno4(AC32,AD32,AE32,AF32)</f>
        <v>0</v>
      </c>
      <c r="S32" s="58">
        <f t="shared" si="16"/>
        <v>0</v>
      </c>
      <c r="T32" s="58">
        <f t="shared" si="17"/>
        <v>0</v>
      </c>
      <c r="U32" s="59">
        <f t="shared" si="18"/>
        <v>0</v>
      </c>
      <c r="V32" s="56">
        <f t="shared" si="20"/>
        <v>0</v>
      </c>
      <c r="W32" s="61">
        <f t="shared" si="22"/>
        <v>0</v>
      </c>
      <c r="X32" s="61">
        <f t="shared" si="19"/>
        <v>0</v>
      </c>
      <c r="Y32" s="59">
        <f t="shared" si="21"/>
        <v>0</v>
      </c>
      <c r="AC32" s="24">
        <f t="shared" si="4"/>
        <v>0</v>
      </c>
      <c r="AD32" s="24">
        <f t="shared" si="5"/>
        <v>0</v>
      </c>
      <c r="AE32" s="24">
        <f t="shared" si="6"/>
        <v>0</v>
      </c>
      <c r="AF32" s="24">
        <f t="shared" si="7"/>
        <v>0</v>
      </c>
      <c r="AG32" s="12">
        <f t="shared" si="8"/>
        <v>44185</v>
      </c>
      <c r="AH32" s="13">
        <f t="shared" si="9"/>
        <v>1</v>
      </c>
    </row>
    <row r="33" spans="3:34" x14ac:dyDescent="0.3">
      <c r="C33" s="8">
        <v>21</v>
      </c>
      <c r="D33" s="9" t="str">
        <f t="shared" si="0"/>
        <v>SEG</v>
      </c>
      <c r="E33" s="18"/>
      <c r="F33" s="34"/>
      <c r="G33" s="35"/>
      <c r="H33" s="35"/>
      <c r="I33" s="36"/>
      <c r="J33" s="56">
        <f t="shared" si="1"/>
        <v>0</v>
      </c>
      <c r="K33" s="57">
        <f t="shared" si="10"/>
        <v>0.33333333333333331</v>
      </c>
      <c r="L33" s="57">
        <f t="shared" si="2"/>
        <v>0</v>
      </c>
      <c r="M33" s="57">
        <f t="shared" si="11"/>
        <v>0</v>
      </c>
      <c r="N33" s="57">
        <f t="shared" si="12"/>
        <v>0</v>
      </c>
      <c r="O33" s="58">
        <f t="shared" si="13"/>
        <v>0</v>
      </c>
      <c r="P33" s="59">
        <f t="shared" si="14"/>
        <v>0</v>
      </c>
      <c r="Q33" s="60">
        <f t="shared" si="15"/>
        <v>0</v>
      </c>
      <c r="R33" s="58" cm="1">
        <f t="array" ref="R33">adicionalNoturno4(AC33,AD33,AE33,AF33)</f>
        <v>0</v>
      </c>
      <c r="S33" s="58">
        <f t="shared" si="16"/>
        <v>0</v>
      </c>
      <c r="T33" s="58">
        <f t="shared" si="17"/>
        <v>0</v>
      </c>
      <c r="U33" s="59">
        <f t="shared" si="18"/>
        <v>0</v>
      </c>
      <c r="V33" s="56">
        <f t="shared" si="20"/>
        <v>0</v>
      </c>
      <c r="W33" s="61">
        <f t="shared" si="22"/>
        <v>0</v>
      </c>
      <c r="X33" s="61">
        <f t="shared" si="19"/>
        <v>0</v>
      </c>
      <c r="Y33" s="59">
        <f t="shared" si="21"/>
        <v>0</v>
      </c>
      <c r="AC33" s="24">
        <f t="shared" si="4"/>
        <v>0</v>
      </c>
      <c r="AD33" s="24">
        <f t="shared" si="5"/>
        <v>0</v>
      </c>
      <c r="AE33" s="24">
        <f t="shared" si="6"/>
        <v>0</v>
      </c>
      <c r="AF33" s="24">
        <f t="shared" si="7"/>
        <v>0</v>
      </c>
      <c r="AG33" s="12">
        <f t="shared" si="8"/>
        <v>44186</v>
      </c>
      <c r="AH33" s="13">
        <f t="shared" si="9"/>
        <v>2</v>
      </c>
    </row>
    <row r="34" spans="3:34" x14ac:dyDescent="0.3">
      <c r="C34" s="8">
        <v>22</v>
      </c>
      <c r="D34" s="9" t="str">
        <f t="shared" si="0"/>
        <v>TER</v>
      </c>
      <c r="E34" s="18"/>
      <c r="F34" s="34"/>
      <c r="G34" s="35"/>
      <c r="H34" s="35"/>
      <c r="I34" s="36"/>
      <c r="J34" s="56">
        <f t="shared" si="1"/>
        <v>0</v>
      </c>
      <c r="K34" s="57">
        <f t="shared" si="10"/>
        <v>0.33333333333333331</v>
      </c>
      <c r="L34" s="57">
        <f t="shared" si="2"/>
        <v>0</v>
      </c>
      <c r="M34" s="57">
        <f t="shared" si="11"/>
        <v>0</v>
      </c>
      <c r="N34" s="57">
        <f t="shared" si="12"/>
        <v>0</v>
      </c>
      <c r="O34" s="58">
        <f t="shared" si="13"/>
        <v>0</v>
      </c>
      <c r="P34" s="59">
        <f t="shared" si="14"/>
        <v>0</v>
      </c>
      <c r="Q34" s="60">
        <f t="shared" si="15"/>
        <v>0</v>
      </c>
      <c r="R34" s="58" cm="1">
        <f t="array" ref="R34">adicionalNoturno4(AC34,AD34,AE34,AF34)</f>
        <v>0</v>
      </c>
      <c r="S34" s="58">
        <f t="shared" si="16"/>
        <v>0</v>
      </c>
      <c r="T34" s="58">
        <f t="shared" si="17"/>
        <v>0</v>
      </c>
      <c r="U34" s="59">
        <f t="shared" si="18"/>
        <v>0</v>
      </c>
      <c r="V34" s="56">
        <f t="shared" si="20"/>
        <v>0</v>
      </c>
      <c r="W34" s="61">
        <f t="shared" si="22"/>
        <v>0</v>
      </c>
      <c r="X34" s="61">
        <f t="shared" si="19"/>
        <v>0</v>
      </c>
      <c r="Y34" s="59">
        <f t="shared" si="21"/>
        <v>0</v>
      </c>
      <c r="AC34" s="24">
        <f t="shared" si="4"/>
        <v>0</v>
      </c>
      <c r="AD34" s="24">
        <f t="shared" si="5"/>
        <v>0</v>
      </c>
      <c r="AE34" s="24">
        <f t="shared" si="6"/>
        <v>0</v>
      </c>
      <c r="AF34" s="24">
        <f t="shared" si="7"/>
        <v>0</v>
      </c>
      <c r="AG34" s="12">
        <f t="shared" si="8"/>
        <v>44187</v>
      </c>
      <c r="AH34" s="13">
        <f t="shared" si="9"/>
        <v>3</v>
      </c>
    </row>
    <row r="35" spans="3:34" x14ac:dyDescent="0.3">
      <c r="C35" s="8">
        <v>23</v>
      </c>
      <c r="D35" s="9" t="str">
        <f t="shared" si="0"/>
        <v>QUA</v>
      </c>
      <c r="E35" s="18"/>
      <c r="F35" s="34"/>
      <c r="G35" s="35"/>
      <c r="H35" s="35"/>
      <c r="I35" s="36"/>
      <c r="J35" s="56">
        <f t="shared" si="1"/>
        <v>0</v>
      </c>
      <c r="K35" s="57">
        <f t="shared" si="10"/>
        <v>0.33333333333333331</v>
      </c>
      <c r="L35" s="57">
        <f t="shared" si="2"/>
        <v>0</v>
      </c>
      <c r="M35" s="57">
        <f t="shared" si="11"/>
        <v>0</v>
      </c>
      <c r="N35" s="57">
        <f t="shared" si="12"/>
        <v>0</v>
      </c>
      <c r="O35" s="58">
        <f t="shared" si="13"/>
        <v>0</v>
      </c>
      <c r="P35" s="59">
        <f t="shared" si="14"/>
        <v>0</v>
      </c>
      <c r="Q35" s="60">
        <f t="shared" si="15"/>
        <v>0</v>
      </c>
      <c r="R35" s="58" cm="1">
        <f t="array" ref="R35">adicionalNoturno4(AC35,AD35,AE35,AF35)</f>
        <v>0</v>
      </c>
      <c r="S35" s="58">
        <f t="shared" si="16"/>
        <v>0</v>
      </c>
      <c r="T35" s="58">
        <f t="shared" si="17"/>
        <v>0</v>
      </c>
      <c r="U35" s="59">
        <f t="shared" si="18"/>
        <v>0</v>
      </c>
      <c r="V35" s="56">
        <f t="shared" si="20"/>
        <v>0</v>
      </c>
      <c r="W35" s="61">
        <f t="shared" si="22"/>
        <v>0</v>
      </c>
      <c r="X35" s="61">
        <f t="shared" si="19"/>
        <v>0</v>
      </c>
      <c r="Y35" s="59">
        <f t="shared" si="21"/>
        <v>0</v>
      </c>
      <c r="AC35" s="24">
        <f t="shared" si="4"/>
        <v>0</v>
      </c>
      <c r="AD35" s="24">
        <f t="shared" si="5"/>
        <v>0</v>
      </c>
      <c r="AE35" s="24">
        <f t="shared" si="6"/>
        <v>0</v>
      </c>
      <c r="AF35" s="24">
        <f t="shared" si="7"/>
        <v>0</v>
      </c>
      <c r="AG35" s="12">
        <f t="shared" si="8"/>
        <v>44188</v>
      </c>
      <c r="AH35" s="13">
        <f t="shared" si="9"/>
        <v>4</v>
      </c>
    </row>
    <row r="36" spans="3:34" x14ac:dyDescent="0.3">
      <c r="C36" s="8">
        <v>24</v>
      </c>
      <c r="D36" s="9" t="str">
        <f t="shared" si="0"/>
        <v>QUI</v>
      </c>
      <c r="E36" s="18"/>
      <c r="F36" s="34"/>
      <c r="G36" s="35"/>
      <c r="H36" s="35"/>
      <c r="I36" s="36"/>
      <c r="J36" s="56">
        <f t="shared" si="1"/>
        <v>0</v>
      </c>
      <c r="K36" s="57">
        <f t="shared" si="10"/>
        <v>0.33333333333333331</v>
      </c>
      <c r="L36" s="57">
        <f t="shared" si="2"/>
        <v>0</v>
      </c>
      <c r="M36" s="57">
        <f t="shared" si="11"/>
        <v>0</v>
      </c>
      <c r="N36" s="57">
        <f t="shared" si="12"/>
        <v>0</v>
      </c>
      <c r="O36" s="58">
        <f t="shared" si="13"/>
        <v>0</v>
      </c>
      <c r="P36" s="59">
        <f t="shared" si="14"/>
        <v>0</v>
      </c>
      <c r="Q36" s="60">
        <f t="shared" si="15"/>
        <v>0</v>
      </c>
      <c r="R36" s="58" cm="1">
        <f t="array" ref="R36">adicionalNoturno4(AC36,AD36,AE36,AF36)</f>
        <v>0</v>
      </c>
      <c r="S36" s="58">
        <f t="shared" si="16"/>
        <v>0</v>
      </c>
      <c r="T36" s="58">
        <f t="shared" si="17"/>
        <v>0</v>
      </c>
      <c r="U36" s="59">
        <f t="shared" si="18"/>
        <v>0</v>
      </c>
      <c r="V36" s="56">
        <f t="shared" si="20"/>
        <v>0</v>
      </c>
      <c r="W36" s="61">
        <f t="shared" si="22"/>
        <v>0</v>
      </c>
      <c r="X36" s="61">
        <f t="shared" si="19"/>
        <v>0</v>
      </c>
      <c r="Y36" s="59">
        <f t="shared" si="21"/>
        <v>0</v>
      </c>
      <c r="AC36" s="24">
        <f t="shared" si="4"/>
        <v>0</v>
      </c>
      <c r="AD36" s="24">
        <f t="shared" si="5"/>
        <v>0</v>
      </c>
      <c r="AE36" s="24">
        <f t="shared" si="6"/>
        <v>0</v>
      </c>
      <c r="AF36" s="24">
        <f t="shared" si="7"/>
        <v>0</v>
      </c>
      <c r="AG36" s="12">
        <f t="shared" si="8"/>
        <v>44189</v>
      </c>
      <c r="AH36" s="13">
        <f t="shared" si="9"/>
        <v>5</v>
      </c>
    </row>
    <row r="37" spans="3:34" x14ac:dyDescent="0.3">
      <c r="C37" s="8">
        <v>25</v>
      </c>
      <c r="D37" s="9" t="str">
        <f t="shared" si="0"/>
        <v>SEX</v>
      </c>
      <c r="E37" s="18"/>
      <c r="F37" s="34"/>
      <c r="G37" s="35"/>
      <c r="H37" s="35"/>
      <c r="I37" s="36"/>
      <c r="J37" s="56">
        <f t="shared" si="1"/>
        <v>0</v>
      </c>
      <c r="K37" s="57">
        <f t="shared" si="10"/>
        <v>0.33333333333333331</v>
      </c>
      <c r="L37" s="57">
        <f t="shared" si="2"/>
        <v>0</v>
      </c>
      <c r="M37" s="57">
        <f t="shared" si="11"/>
        <v>0</v>
      </c>
      <c r="N37" s="57">
        <f t="shared" si="12"/>
        <v>0</v>
      </c>
      <c r="O37" s="58">
        <f t="shared" si="13"/>
        <v>0</v>
      </c>
      <c r="P37" s="59">
        <f t="shared" si="14"/>
        <v>0</v>
      </c>
      <c r="Q37" s="60">
        <f t="shared" si="15"/>
        <v>0</v>
      </c>
      <c r="R37" s="58" cm="1">
        <f t="array" ref="R37">adicionalNoturno4(AC37,AD37,AE37,AF37)</f>
        <v>0</v>
      </c>
      <c r="S37" s="58">
        <f t="shared" si="16"/>
        <v>0</v>
      </c>
      <c r="T37" s="58">
        <f t="shared" si="17"/>
        <v>0</v>
      </c>
      <c r="U37" s="59">
        <f t="shared" si="18"/>
        <v>0</v>
      </c>
      <c r="V37" s="56">
        <f t="shared" si="20"/>
        <v>0</v>
      </c>
      <c r="W37" s="61">
        <f t="shared" si="22"/>
        <v>0</v>
      </c>
      <c r="X37" s="61">
        <f t="shared" si="19"/>
        <v>0</v>
      </c>
      <c r="Y37" s="59">
        <f t="shared" si="21"/>
        <v>0</v>
      </c>
      <c r="AC37" s="24">
        <f t="shared" si="4"/>
        <v>0</v>
      </c>
      <c r="AD37" s="24">
        <f t="shared" si="5"/>
        <v>0</v>
      </c>
      <c r="AE37" s="24">
        <f t="shared" si="6"/>
        <v>0</v>
      </c>
      <c r="AF37" s="24">
        <f t="shared" si="7"/>
        <v>0</v>
      </c>
      <c r="AG37" s="12">
        <f t="shared" si="8"/>
        <v>44190</v>
      </c>
      <c r="AH37" s="13">
        <f t="shared" si="9"/>
        <v>6</v>
      </c>
    </row>
    <row r="38" spans="3:34" x14ac:dyDescent="0.3">
      <c r="C38" s="8">
        <v>26</v>
      </c>
      <c r="D38" s="9" t="str">
        <f t="shared" si="0"/>
        <v>SAB</v>
      </c>
      <c r="E38" s="18"/>
      <c r="F38" s="34"/>
      <c r="G38" s="35"/>
      <c r="H38" s="35"/>
      <c r="I38" s="36"/>
      <c r="J38" s="56">
        <f t="shared" si="1"/>
        <v>0</v>
      </c>
      <c r="K38" s="57">
        <f t="shared" si="10"/>
        <v>0.16666666666666666</v>
      </c>
      <c r="L38" s="57">
        <f t="shared" si="2"/>
        <v>0</v>
      </c>
      <c r="M38" s="57">
        <f t="shared" si="11"/>
        <v>0</v>
      </c>
      <c r="N38" s="57">
        <f t="shared" si="12"/>
        <v>0</v>
      </c>
      <c r="O38" s="58">
        <f t="shared" si="13"/>
        <v>0</v>
      </c>
      <c r="P38" s="59">
        <f t="shared" si="14"/>
        <v>0</v>
      </c>
      <c r="Q38" s="60">
        <f t="shared" si="15"/>
        <v>0</v>
      </c>
      <c r="R38" s="58" cm="1">
        <f t="array" ref="R38">adicionalNoturno4(AC38,AD38,AE38,AF38)</f>
        <v>0</v>
      </c>
      <c r="S38" s="58">
        <f t="shared" si="16"/>
        <v>0</v>
      </c>
      <c r="T38" s="58">
        <f t="shared" si="17"/>
        <v>0</v>
      </c>
      <c r="U38" s="59">
        <f t="shared" si="18"/>
        <v>0</v>
      </c>
      <c r="V38" s="56">
        <f t="shared" si="20"/>
        <v>0</v>
      </c>
      <c r="W38" s="61">
        <f t="shared" si="22"/>
        <v>0</v>
      </c>
      <c r="X38" s="61">
        <f t="shared" si="19"/>
        <v>0</v>
      </c>
      <c r="Y38" s="59">
        <f t="shared" si="21"/>
        <v>0</v>
      </c>
      <c r="AC38" s="24">
        <f t="shared" si="4"/>
        <v>0</v>
      </c>
      <c r="AD38" s="24">
        <f t="shared" si="5"/>
        <v>0</v>
      </c>
      <c r="AE38" s="24">
        <f t="shared" si="6"/>
        <v>0</v>
      </c>
      <c r="AF38" s="24">
        <f t="shared" si="7"/>
        <v>0</v>
      </c>
      <c r="AG38" s="12">
        <f t="shared" si="8"/>
        <v>44191</v>
      </c>
      <c r="AH38" s="13">
        <f t="shared" si="9"/>
        <v>7</v>
      </c>
    </row>
    <row r="39" spans="3:34" x14ac:dyDescent="0.3">
      <c r="C39" s="8">
        <v>27</v>
      </c>
      <c r="D39" s="9" t="str">
        <f t="shared" si="0"/>
        <v>DOM</v>
      </c>
      <c r="E39" s="18"/>
      <c r="F39" s="34"/>
      <c r="G39" s="35"/>
      <c r="H39" s="35"/>
      <c r="I39" s="36"/>
      <c r="J39" s="56">
        <f t="shared" si="1"/>
        <v>0</v>
      </c>
      <c r="K39" s="57">
        <f t="shared" si="10"/>
        <v>0.33333333333333331</v>
      </c>
      <c r="L39" s="57">
        <f t="shared" si="2"/>
        <v>0</v>
      </c>
      <c r="M39" s="57">
        <f t="shared" si="11"/>
        <v>0</v>
      </c>
      <c r="N39" s="57">
        <f t="shared" si="12"/>
        <v>0</v>
      </c>
      <c r="O39" s="58">
        <f t="shared" si="13"/>
        <v>0</v>
      </c>
      <c r="P39" s="59">
        <f t="shared" si="14"/>
        <v>0</v>
      </c>
      <c r="Q39" s="60">
        <f t="shared" si="15"/>
        <v>0</v>
      </c>
      <c r="R39" s="58" cm="1">
        <f t="array" ref="R39">adicionalNoturno4(AC39,AD39,AE39,AF39)</f>
        <v>0</v>
      </c>
      <c r="S39" s="58">
        <f t="shared" si="16"/>
        <v>0</v>
      </c>
      <c r="T39" s="58">
        <f t="shared" si="17"/>
        <v>0</v>
      </c>
      <c r="U39" s="59">
        <f t="shared" si="18"/>
        <v>0</v>
      </c>
      <c r="V39" s="56">
        <f t="shared" si="20"/>
        <v>0</v>
      </c>
      <c r="W39" s="61">
        <f t="shared" si="22"/>
        <v>0</v>
      </c>
      <c r="X39" s="61">
        <f t="shared" si="19"/>
        <v>0</v>
      </c>
      <c r="Y39" s="59">
        <f t="shared" si="21"/>
        <v>0</v>
      </c>
      <c r="AC39" s="24">
        <f t="shared" si="4"/>
        <v>0</v>
      </c>
      <c r="AD39" s="24">
        <f t="shared" si="5"/>
        <v>0</v>
      </c>
      <c r="AE39" s="24">
        <f t="shared" si="6"/>
        <v>0</v>
      </c>
      <c r="AF39" s="24">
        <f t="shared" si="7"/>
        <v>0</v>
      </c>
      <c r="AG39" s="12">
        <f t="shared" si="8"/>
        <v>44192</v>
      </c>
      <c r="AH39" s="13">
        <f t="shared" si="9"/>
        <v>1</v>
      </c>
    </row>
    <row r="40" spans="3:34" x14ac:dyDescent="0.3">
      <c r="C40" s="8">
        <v>28</v>
      </c>
      <c r="D40" s="9" t="str">
        <f t="shared" si="0"/>
        <v>SEG</v>
      </c>
      <c r="E40" s="18"/>
      <c r="F40" s="34"/>
      <c r="G40" s="35"/>
      <c r="H40" s="35"/>
      <c r="I40" s="36"/>
      <c r="J40" s="56">
        <f t="shared" si="1"/>
        <v>0</v>
      </c>
      <c r="K40" s="57">
        <f t="shared" si="10"/>
        <v>0.33333333333333331</v>
      </c>
      <c r="L40" s="57">
        <f t="shared" si="2"/>
        <v>0</v>
      </c>
      <c r="M40" s="57">
        <f t="shared" si="11"/>
        <v>0</v>
      </c>
      <c r="N40" s="57">
        <f t="shared" si="12"/>
        <v>0</v>
      </c>
      <c r="O40" s="58">
        <f t="shared" si="13"/>
        <v>0</v>
      </c>
      <c r="P40" s="59">
        <f t="shared" si="14"/>
        <v>0</v>
      </c>
      <c r="Q40" s="60">
        <f t="shared" si="15"/>
        <v>0</v>
      </c>
      <c r="R40" s="58" cm="1">
        <f t="array" ref="R40">adicionalNoturno4(AC40,AD40,AE40,AF40)</f>
        <v>0</v>
      </c>
      <c r="S40" s="58">
        <f t="shared" si="16"/>
        <v>0</v>
      </c>
      <c r="T40" s="58">
        <f t="shared" si="17"/>
        <v>0</v>
      </c>
      <c r="U40" s="59">
        <f t="shared" si="18"/>
        <v>0</v>
      </c>
      <c r="V40" s="56">
        <f t="shared" si="20"/>
        <v>0</v>
      </c>
      <c r="W40" s="61">
        <f t="shared" si="22"/>
        <v>0</v>
      </c>
      <c r="X40" s="61">
        <f t="shared" si="19"/>
        <v>0</v>
      </c>
      <c r="Y40" s="59">
        <f t="shared" si="21"/>
        <v>0</v>
      </c>
      <c r="AC40" s="24">
        <f t="shared" si="4"/>
        <v>0</v>
      </c>
      <c r="AD40" s="24">
        <f t="shared" si="5"/>
        <v>0</v>
      </c>
      <c r="AE40" s="24">
        <f t="shared" si="6"/>
        <v>0</v>
      </c>
      <c r="AF40" s="24">
        <f t="shared" si="7"/>
        <v>0</v>
      </c>
      <c r="AG40" s="12">
        <f t="shared" si="8"/>
        <v>44193</v>
      </c>
      <c r="AH40" s="13">
        <f t="shared" si="9"/>
        <v>2</v>
      </c>
    </row>
    <row r="41" spans="3:34" x14ac:dyDescent="0.3">
      <c r="C41" s="8">
        <f>IFERROR(IF(OR(C42&lt;&gt;"",AP18="SIM"),29,""),"")</f>
        <v>29</v>
      </c>
      <c r="D41" s="9" t="str">
        <f t="shared" si="0"/>
        <v>TER</v>
      </c>
      <c r="E41" s="18"/>
      <c r="F41" s="34"/>
      <c r="G41" s="35"/>
      <c r="H41" s="35"/>
      <c r="I41" s="36"/>
      <c r="J41" s="56">
        <f>IFERROR(IF(C41&lt;&gt;"",IF(E41&lt;&gt;"fol",IF(AND(AD41&gt;=AC41,AF41&gt;=AE41,F41&lt;&gt;"",G41&lt;&gt;"",H41&lt;&gt;"",I41&lt;&gt;""),(AD41-AC41)+(AF41-AE41),0),0),0),"ERRO")</f>
        <v>0</v>
      </c>
      <c r="K41" s="57">
        <f>IFERROR(IF(C41&lt;&gt;"",IF(OR(D41="seg",D41="ter",D41="qua",D41="qui",D41="sex"),IF($H$9="NENHUMA",8/24,IF($H$9="ADM",IF(D41&lt;&gt;"SEX",9/24,8/24),IF($H$9="J 7:20",(7/24)+(20/(24*60)),(8/24)+(48/(24*60))))),IF(D41="sab",IF($H$9="NENHUMA",4/24,IF($H$9="J 8:48",(8/24)+(48/(24*60)),IF($H$9="J 7:20",(7/24)+(20/(24*60)),8/24))),IF(OR($H$9="NENHUMA",$H$9="ADM"),8/24,IF($H$9="J 8:48",(8/24)+(48/(24*60)),(7/24)+(20/(24*60)))))),0),"ERRO")</f>
        <v>0.33333333333333331</v>
      </c>
      <c r="L41" s="57">
        <f>IFERROR(IF(C41&lt;&gt;"",IF(E41&lt;&gt;"fol",IF(AND(AE41&gt;=AD41,AE41&lt;&gt;"",AD41&lt;&gt;""),AE41-AD41,0),0),0),"ERRO")</f>
        <v>0</v>
      </c>
      <c r="M41" s="57">
        <f t="shared" si="11"/>
        <v>0</v>
      </c>
      <c r="N41" s="57">
        <f t="shared" si="12"/>
        <v>0</v>
      </c>
      <c r="O41" s="58">
        <f t="shared" si="13"/>
        <v>0</v>
      </c>
      <c r="P41" s="59">
        <f t="shared" si="14"/>
        <v>0</v>
      </c>
      <c r="Q41" s="74">
        <f>IFERROR(IF(C41&lt;&gt;"",(R41)*(60/52.5),0),"ERRO")</f>
        <v>0</v>
      </c>
      <c r="R41" s="58" cm="1">
        <f t="array" ref="R41">adicionalNoturno4(AC41,AD41,AE41,AF41)</f>
        <v>0</v>
      </c>
      <c r="S41" s="75">
        <f t="shared" si="16"/>
        <v>0</v>
      </c>
      <c r="T41" s="58">
        <f t="shared" si="17"/>
        <v>0</v>
      </c>
      <c r="U41" s="59">
        <f t="shared" si="18"/>
        <v>0</v>
      </c>
      <c r="V41" s="56">
        <f t="shared" si="20"/>
        <v>0</v>
      </c>
      <c r="W41" s="61">
        <f>IF(C41&lt;&gt;"",IF(OR(E41="foj",AND(F41&lt;&gt;"",G41&lt;&gt;"",H41&lt;&gt;"",I41&lt;&gt;"")),IF(AA41&gt;V41,(HOUR(AA41)+MINUTE(AA41)/60)-(HOUR(V41)+MINUTE(V41)/60),(-1)*(HOUR(AA41)+MINUTE(AA41)/60)-(HOUR(V41)+MINUTE(V41)/60)),0),0)</f>
        <v>0</v>
      </c>
      <c r="X41" s="61">
        <f>IF(C41&lt;&gt;"",X40+W41,0)</f>
        <v>0</v>
      </c>
      <c r="Y41" s="59">
        <f t="shared" si="21"/>
        <v>0</v>
      </c>
      <c r="AC41" s="24">
        <f t="shared" si="4"/>
        <v>0</v>
      </c>
      <c r="AD41" s="24">
        <f t="shared" si="5"/>
        <v>0</v>
      </c>
      <c r="AE41" s="24">
        <f t="shared" si="6"/>
        <v>0</v>
      </c>
      <c r="AF41" s="24">
        <f t="shared" si="7"/>
        <v>0</v>
      </c>
      <c r="AG41" s="12">
        <f t="shared" si="8"/>
        <v>44194</v>
      </c>
      <c r="AH41" s="13">
        <f t="shared" si="9"/>
        <v>3</v>
      </c>
    </row>
    <row r="42" spans="3:34" x14ac:dyDescent="0.3">
      <c r="C42" s="8">
        <f>IFERROR(IF(OR($AN$18=4,$AN$18=6,$AN$18=9,$AN$18=11,C43&lt;&gt;""),30,""),"")</f>
        <v>30</v>
      </c>
      <c r="D42" s="9" t="str">
        <f t="shared" si="0"/>
        <v>QUA</v>
      </c>
      <c r="E42" s="18"/>
      <c r="F42" s="34"/>
      <c r="G42" s="35"/>
      <c r="H42" s="35"/>
      <c r="I42" s="36"/>
      <c r="J42" s="56">
        <f>IFERROR(IF(C42&lt;&gt;"",IF(E42&lt;&gt;"fol",IF(AND(AD42&gt;=AC42,AF42&gt;=AE42,F42&lt;&gt;"",G42&lt;&gt;"",H42&lt;&gt;"",I42&lt;&gt;""),(AD42-AC42)+(AF42-AE42),0),0),0),"ERRO")</f>
        <v>0</v>
      </c>
      <c r="K42" s="57">
        <f>IFERROR(IF(C42&lt;&gt;"",IF(OR(D42="seg",D42="ter",D42="qua",D42="qui",D42="sex"),IF($H$9="NENHUMA",8/24,IF($H$9="ADM",IF(D42&lt;&gt;"SEX",9/24,8/24),IF($H$9="J 7:20",(7/24)+(20/(24*60)),(8/24)+(48/(24*60))))),IF(D42="sab",IF($H$9="NENHUMA",4/24,IF($H$9="J 8:48",(8/24)+(48/(24*60)),IF($H$9="J 7:20",(7/24)+(20/(24*60)),8/24))),IF(OR($H$9="NENHUMA",$H$9="ADM"),8/24,IF($H$9="J 8:48",(8/24)+(48/(24*60)),(7/24)+(20/(24*60)))))),0),"ERRO")</f>
        <v>0.33333333333333331</v>
      </c>
      <c r="L42" s="57">
        <f>IFERROR(IF(C42&lt;&gt;"",IF(E42&lt;&gt;"fol",IF(AND(AE42&gt;=AD42,AE42&lt;&gt;"",AD42&lt;&gt;""),AE42-AD42,0),0),0),"ERRO")</f>
        <v>0</v>
      </c>
      <c r="M42" s="57">
        <f t="shared" si="11"/>
        <v>0</v>
      </c>
      <c r="N42" s="57">
        <f t="shared" si="12"/>
        <v>0</v>
      </c>
      <c r="O42" s="58">
        <f t="shared" si="13"/>
        <v>0</v>
      </c>
      <c r="P42" s="59">
        <f t="shared" si="14"/>
        <v>0</v>
      </c>
      <c r="Q42" s="60">
        <f>IFERROR(IF(C42&lt;&gt;"",(R42)*(60/52.5),0),"ERRO")</f>
        <v>0</v>
      </c>
      <c r="R42" s="58" cm="1">
        <f t="array" ref="R42">adicionalNoturno4(AC42,AD42,AE42,AF42)</f>
        <v>0</v>
      </c>
      <c r="S42" s="58">
        <f t="shared" si="16"/>
        <v>0</v>
      </c>
      <c r="T42" s="58">
        <f t="shared" si="17"/>
        <v>0</v>
      </c>
      <c r="U42" s="59">
        <f t="shared" si="18"/>
        <v>0</v>
      </c>
      <c r="V42" s="56">
        <f t="shared" si="20"/>
        <v>0</v>
      </c>
      <c r="W42" s="61">
        <f>IF(C42&lt;&gt;"",IF(OR(E42="foj",AND(F42&lt;&gt;"",G42&lt;&gt;"",H42&lt;&gt;"",I42&lt;&gt;"")),IF(AA42&gt;V42,(HOUR(AA42)+MINUTE(AA42)/60)-(HOUR(V42)+MINUTE(V42)/60),(-1)*(HOUR(AA42)+MINUTE(AA42)/60)-(HOUR(V42)+MINUTE(V42)/60)),0),0)</f>
        <v>0</v>
      </c>
      <c r="X42" s="61">
        <f>IF(C42&lt;&gt;"",X41+W42,0)</f>
        <v>0</v>
      </c>
      <c r="Y42" s="59">
        <f t="shared" si="21"/>
        <v>0</v>
      </c>
      <c r="AC42" s="24">
        <f t="shared" si="4"/>
        <v>0</v>
      </c>
      <c r="AD42" s="24">
        <f t="shared" si="5"/>
        <v>0</v>
      </c>
      <c r="AE42" s="24">
        <f t="shared" si="6"/>
        <v>0</v>
      </c>
      <c r="AF42" s="24">
        <f t="shared" si="7"/>
        <v>0</v>
      </c>
      <c r="AG42" s="12">
        <f t="shared" si="8"/>
        <v>44195</v>
      </c>
      <c r="AH42" s="13">
        <f t="shared" si="9"/>
        <v>4</v>
      </c>
    </row>
    <row r="43" spans="3:34" ht="15" thickBot="1" x14ac:dyDescent="0.35">
      <c r="C43" s="10">
        <f>IFERROR(IF(OR($AN$18=1,$AN$18=3,$AN$18=5,$AN$18=7,$AN$18=8,$AN$18=10,$AN$18=12),31,""),"")</f>
        <v>31</v>
      </c>
      <c r="D43" s="11" t="str">
        <f t="shared" si="0"/>
        <v>QUI</v>
      </c>
      <c r="E43" s="19"/>
      <c r="F43" s="37"/>
      <c r="G43" s="38"/>
      <c r="H43" s="38"/>
      <c r="I43" s="39"/>
      <c r="J43" s="62">
        <f>IFERROR(IF(C43&lt;&gt;"",IF(E43&lt;&gt;"fol",IF(AND(AD43&gt;=AC43,AF43&gt;=AE43,F43&lt;&gt;"",G43&lt;&gt;"",H43&lt;&gt;"",I43&lt;&gt;""),(AD43-AC43)+(AF43-AE43),0),0),0),"ERRO")</f>
        <v>0</v>
      </c>
      <c r="K43" s="63">
        <f>IFERROR(IF(C43&lt;&gt;"",IF(OR(D43="seg",D43="ter",D43="qua",D43="qui",D43="sex"),IF($H$9="NENHUMA",8/24,IF($H$9="ADM",IF(D43&lt;&gt;"SEX",9/24,8/24),IF($H$9="J 7:20",(7/24)+(20/(24*60)),(8/24)+(48/(24*60))))),IF(D43="sab",IF($H$9="NENHUMA",4/24,IF($H$9="J 8:48",(8/24)+(48/(24*60)),IF($H$9="J 7:20",(7/24)+(20/(24*60)),8/24))),IF(OR($H$9="NENHUMA",$H$9="ADM"),8/24,IF($H$9="J 8:48",(8/24)+(48/(24*60)),(7/24)+(20/(24*60)))))),0),"ERRO")</f>
        <v>0.33333333333333331</v>
      </c>
      <c r="L43" s="63">
        <f>IFERROR(IF(C43&lt;&gt;"",IF(E43&lt;&gt;"fol",IF(AND(AE43&gt;=AD43,AE43&lt;&gt;"",AD43&lt;&gt;""),AE43-AD43,0),0),0),"ERRO")</f>
        <v>0</v>
      </c>
      <c r="M43" s="63">
        <f t="shared" si="11"/>
        <v>0</v>
      </c>
      <c r="N43" s="63">
        <f t="shared" si="12"/>
        <v>0</v>
      </c>
      <c r="O43" s="64">
        <f t="shared" si="13"/>
        <v>0</v>
      </c>
      <c r="P43" s="65">
        <f t="shared" si="14"/>
        <v>0</v>
      </c>
      <c r="Q43" s="78">
        <f>IFERROR(IF(C43&lt;&gt;"",(R43)*(60/52.5),0),"ERRO")</f>
        <v>0</v>
      </c>
      <c r="R43" s="64" cm="1">
        <f t="array" ref="R43">adicionalNoturno4(AC43,AD43,AE43,AF43)</f>
        <v>0</v>
      </c>
      <c r="S43" s="79">
        <f t="shared" si="16"/>
        <v>0</v>
      </c>
      <c r="T43" s="64">
        <f t="shared" si="17"/>
        <v>0</v>
      </c>
      <c r="U43" s="65">
        <f t="shared" si="18"/>
        <v>0</v>
      </c>
      <c r="V43" s="62">
        <f t="shared" si="20"/>
        <v>0</v>
      </c>
      <c r="W43" s="66">
        <f>IF(C43&lt;&gt;"",IF(OR(E43="foj",AND(F43&lt;&gt;"",G43&lt;&gt;"",H43&lt;&gt;"",I43&lt;&gt;"")),IF(AA43&gt;V43,(HOUR(AA43)+MINUTE(AA43)/60)-(HOUR(V43)+MINUTE(V43)/60),(-1)*(HOUR(AA43)+MINUTE(AA43)/60)-(HOUR(V43)+MINUTE(V43)/60)),0),0)</f>
        <v>0</v>
      </c>
      <c r="X43" s="66">
        <f>IF(C43&lt;&gt;"",X42+W43,0)</f>
        <v>0</v>
      </c>
      <c r="Y43" s="65">
        <f t="shared" si="21"/>
        <v>0</v>
      </c>
      <c r="AC43" s="24">
        <f t="shared" si="4"/>
        <v>0</v>
      </c>
      <c r="AD43" s="24">
        <f t="shared" si="5"/>
        <v>0</v>
      </c>
      <c r="AE43" s="24">
        <f t="shared" si="6"/>
        <v>0</v>
      </c>
      <c r="AF43" s="24">
        <f t="shared" si="7"/>
        <v>0</v>
      </c>
      <c r="AG43" s="12">
        <f t="shared" si="8"/>
        <v>44196</v>
      </c>
      <c r="AH43" s="13">
        <f t="shared" si="9"/>
        <v>5</v>
      </c>
    </row>
    <row r="44" spans="3:34" ht="19.5" customHeight="1" thickBot="1" x14ac:dyDescent="0.35">
      <c r="J44" s="15"/>
      <c r="N44" s="47" t="s">
        <v>36</v>
      </c>
      <c r="O44" s="43">
        <f>IFERROR(SUM($O$13:$O$43),0)</f>
        <v>0</v>
      </c>
      <c r="P44" s="42">
        <f>IFERROR(SUM($P$13:$P$43),0)</f>
        <v>0</v>
      </c>
      <c r="Q44" s="42">
        <f>IFERROR(SUM($Q$13:$Q$43),0)</f>
        <v>0</v>
      </c>
      <c r="R44" s="44"/>
      <c r="S44" s="44"/>
      <c r="T44" s="42">
        <f>IFERROR(SUM($T$13:$T$43),0)</f>
        <v>0</v>
      </c>
      <c r="U44" s="42">
        <f>IFERROR(SUM($U$13:$U$43),0)</f>
        <v>0</v>
      </c>
      <c r="W44" s="14"/>
    </row>
    <row r="45" spans="3:34" ht="19.5" customHeight="1" thickBot="1" x14ac:dyDescent="0.35"/>
    <row r="46" spans="3:34" ht="19.5" customHeight="1" thickBot="1" x14ac:dyDescent="0.35">
      <c r="N46" s="101" t="s">
        <v>39</v>
      </c>
      <c r="O46" s="102"/>
      <c r="P46" s="45">
        <f>IFERROR(SUM($AA$13:$AA$43),0)</f>
        <v>0</v>
      </c>
      <c r="T46" s="106" t="s">
        <v>42</v>
      </c>
      <c r="U46" s="107"/>
      <c r="V46" s="45">
        <f>IFERROR(SUMIF($E$13:$E$43,"fet",$AA$13:$AA$43)+SUMIF($E$13:$E$43,"dot",$AA$13:$AA$43),0)</f>
        <v>0</v>
      </c>
    </row>
    <row r="47" spans="3:34" ht="19.5" customHeight="1" thickBot="1" x14ac:dyDescent="0.35">
      <c r="N47" s="101" t="s">
        <v>41</v>
      </c>
      <c r="O47" s="102"/>
      <c r="P47" s="45">
        <f>IFERROR(SUMIF($E$13:$E$43,$AK$13,$K$13:$K$43),0)</f>
        <v>0</v>
      </c>
      <c r="U47" s="48" t="str">
        <f>IFERROR(IF($H$9="J 8:48","ATÉ 1:12H","ATÉ 2H"),"ERRO")</f>
        <v>ATÉ 2H</v>
      </c>
      <c r="V47" s="46">
        <f>IFERROR(SUMIF($E$13:$E$43,"fet",$O$13:$O$43)+SUMIF($E$13:$E$43,"dot",$O$13:$O$43),0)</f>
        <v>0</v>
      </c>
    </row>
    <row r="48" spans="3:34" ht="19.5" customHeight="1" thickBot="1" x14ac:dyDescent="0.35">
      <c r="F48" s="3"/>
      <c r="N48" s="101" t="s">
        <v>40</v>
      </c>
      <c r="O48" s="102"/>
      <c r="P48" s="45">
        <f>IFERROR(IF(SUM($AA$13:$AA$43)&gt;P47,SUM($AA$13:$AA$43)-P47,0),0)</f>
        <v>0</v>
      </c>
      <c r="U48" s="48" t="str">
        <f>IFERROR(IF($H$9="J 8:48","APÓS 1:12H","APÓS 2H"),"ERRO")</f>
        <v>APÓS 2H</v>
      </c>
      <c r="V48" s="46">
        <f>IFERROR(SUMIF($E$13:$E$43,"fet",$P$13:$P$43)+SUMIF($E$13:$E$43,"dot",$P$13:$P$43),0)</f>
        <v>0</v>
      </c>
    </row>
    <row r="49" spans="6:26" ht="19.5" customHeight="1" thickBot="1" x14ac:dyDescent="0.35">
      <c r="F49" s="3"/>
      <c r="O49" s="48" t="str">
        <f>IFERROR(IF($H$9="J 8:48","ATÉ 1:12H","ATÉ 2H"),"ERRO")</f>
        <v>ATÉ 2H</v>
      </c>
      <c r="P49" s="46">
        <f>IFERROR(IF($P$47&gt;$P$44,IF($O$44&gt;($P$47-$P$44),$O$44-($P$47-$P$44),0),$O$44),0)</f>
        <v>0</v>
      </c>
    </row>
    <row r="50" spans="6:26" ht="19.5" customHeight="1" thickBot="1" x14ac:dyDescent="0.35">
      <c r="F50" s="3"/>
      <c r="I50" s="1"/>
      <c r="O50" s="49" t="str">
        <f>IFERROR(IF($H$9="J 8:48","APÓS 1:12H","APÓS 2H"),"ERRO")</f>
        <v>APÓS 2H</v>
      </c>
      <c r="P50" s="46">
        <f>IFERROR(IF($P$44&gt;$P$47,$P$44-$P$47,0),0)</f>
        <v>0</v>
      </c>
      <c r="Y50" s="3"/>
      <c r="Z50" s="3"/>
    </row>
    <row r="51" spans="6:26" x14ac:dyDescent="0.3">
      <c r="V51" s="3"/>
      <c r="W51" s="3"/>
    </row>
    <row r="52" spans="6:26" ht="15.75" customHeight="1" thickBot="1" x14ac:dyDescent="0.35"/>
    <row r="53" spans="6:26" ht="23.25" customHeight="1" x14ac:dyDescent="0.3">
      <c r="K53" s="93" t="s">
        <v>0</v>
      </c>
      <c r="L53" s="94"/>
      <c r="M53" s="98"/>
      <c r="N53" s="99"/>
      <c r="O53" s="99"/>
      <c r="P53" s="99"/>
      <c r="Q53" s="99"/>
      <c r="R53" s="99"/>
      <c r="S53" s="99"/>
      <c r="T53" s="99"/>
      <c r="U53" s="100"/>
    </row>
    <row r="54" spans="6:26" ht="23.25" customHeight="1" x14ac:dyDescent="0.3">
      <c r="K54" s="80" t="s">
        <v>1</v>
      </c>
      <c r="L54" s="81"/>
      <c r="M54" s="87"/>
      <c r="N54" s="88"/>
      <c r="O54" s="88"/>
      <c r="P54" s="88"/>
      <c r="Q54" s="88"/>
      <c r="R54" s="88"/>
      <c r="S54" s="88"/>
      <c r="T54" s="88"/>
      <c r="U54" s="89"/>
    </row>
    <row r="55" spans="6:26" ht="23.25" customHeight="1" x14ac:dyDescent="0.3">
      <c r="K55" s="80" t="s">
        <v>2</v>
      </c>
      <c r="L55" s="81"/>
      <c r="M55" s="87"/>
      <c r="N55" s="88"/>
      <c r="O55" s="88"/>
      <c r="P55" s="88"/>
      <c r="Q55" s="88"/>
      <c r="R55" s="88"/>
      <c r="S55" s="88"/>
      <c r="T55" s="88"/>
      <c r="U55" s="89"/>
    </row>
    <row r="56" spans="6:26" ht="23.25" customHeight="1" x14ac:dyDescent="0.3">
      <c r="K56" s="80" t="s">
        <v>3</v>
      </c>
      <c r="L56" s="81"/>
      <c r="M56" s="87"/>
      <c r="N56" s="88"/>
      <c r="O56" s="88"/>
      <c r="P56" s="88"/>
      <c r="Q56" s="88"/>
      <c r="R56" s="88"/>
      <c r="S56" s="88"/>
      <c r="T56" s="88"/>
      <c r="U56" s="89"/>
    </row>
    <row r="57" spans="6:26" ht="23.25" customHeight="1" x14ac:dyDescent="0.3">
      <c r="K57" s="80" t="s">
        <v>4</v>
      </c>
      <c r="L57" s="81"/>
      <c r="M57" s="87"/>
      <c r="N57" s="88"/>
      <c r="O57" s="88"/>
      <c r="P57" s="88"/>
      <c r="Q57" s="88"/>
      <c r="R57" s="88"/>
      <c r="S57" s="88"/>
      <c r="T57" s="88"/>
      <c r="U57" s="89"/>
    </row>
    <row r="58" spans="6:26" ht="23.25" customHeight="1" thickBot="1" x14ac:dyDescent="0.35">
      <c r="K58" s="82" t="s">
        <v>5</v>
      </c>
      <c r="L58" s="83" t="s">
        <v>5</v>
      </c>
      <c r="M58" s="84"/>
      <c r="N58" s="85"/>
      <c r="O58" s="85"/>
      <c r="P58" s="85"/>
      <c r="Q58" s="85"/>
      <c r="R58" s="85"/>
      <c r="S58" s="85"/>
      <c r="T58" s="85"/>
      <c r="U58" s="86"/>
    </row>
    <row r="59" spans="6:26" ht="16.5" customHeight="1" x14ac:dyDescent="0.3"/>
  </sheetData>
  <mergeCells count="39">
    <mergeCell ref="Y10:Y12"/>
    <mergeCell ref="N10:N12"/>
    <mergeCell ref="X10:X11"/>
    <mergeCell ref="U10:U12"/>
    <mergeCell ref="T10:T12"/>
    <mergeCell ref="K10:K12"/>
    <mergeCell ref="J10:J12"/>
    <mergeCell ref="L10:L12"/>
    <mergeCell ref="W10:W12"/>
    <mergeCell ref="V10:V12"/>
    <mergeCell ref="R10:R12"/>
    <mergeCell ref="Q10:Q12"/>
    <mergeCell ref="C9:D9"/>
    <mergeCell ref="L8:N8"/>
    <mergeCell ref="T46:U46"/>
    <mergeCell ref="P10:P12"/>
    <mergeCell ref="O10:O12"/>
    <mergeCell ref="F9:G9"/>
    <mergeCell ref="E10:E12"/>
    <mergeCell ref="D10:D12"/>
    <mergeCell ref="C10:C12"/>
    <mergeCell ref="F10:I11"/>
    <mergeCell ref="S10:S12"/>
    <mergeCell ref="K53:L53"/>
    <mergeCell ref="K54:L54"/>
    <mergeCell ref="K55:L55"/>
    <mergeCell ref="K56:L56"/>
    <mergeCell ref="M10:M12"/>
    <mergeCell ref="M55:U55"/>
    <mergeCell ref="M54:U54"/>
    <mergeCell ref="M53:U53"/>
    <mergeCell ref="N46:O46"/>
    <mergeCell ref="N47:O47"/>
    <mergeCell ref="N48:O48"/>
    <mergeCell ref="K57:L57"/>
    <mergeCell ref="K58:L58"/>
    <mergeCell ref="M58:U58"/>
    <mergeCell ref="M57:U57"/>
    <mergeCell ref="M56:U56"/>
  </mergeCells>
  <conditionalFormatting sqref="X13:X43">
    <cfRule type="cellIs" dxfId="75" priority="107" operator="lessThan">
      <formula>0</formula>
    </cfRule>
    <cfRule type="cellIs" dxfId="74" priority="108" operator="greaterThan">
      <formula>0</formula>
    </cfRule>
  </conditionalFormatting>
  <conditionalFormatting sqref="O13:O43">
    <cfRule type="cellIs" dxfId="73" priority="94" operator="equal">
      <formula>2/24</formula>
    </cfRule>
    <cfRule type="cellIs" dxfId="72" priority="95" operator="equal">
      <formula>((1/24)+(12/(24*60)))</formula>
    </cfRule>
  </conditionalFormatting>
  <conditionalFormatting sqref="W13:W43">
    <cfRule type="cellIs" dxfId="71" priority="109" operator="greaterThan">
      <formula>0</formula>
    </cfRule>
    <cfRule type="cellIs" dxfId="70" priority="110" operator="lessThan">
      <formula>0</formula>
    </cfRule>
  </conditionalFormatting>
  <conditionalFormatting sqref="C42:Y42">
    <cfRule type="expression" dxfId="69" priority="72">
      <formula>$C$42=""</formula>
    </cfRule>
  </conditionalFormatting>
  <conditionalFormatting sqref="C43:Y43">
    <cfRule type="expression" dxfId="68" priority="71">
      <formula>$C$43=""</formula>
    </cfRule>
  </conditionalFormatting>
  <conditionalFormatting sqref="C41:Y41">
    <cfRule type="expression" dxfId="67" priority="68">
      <formula>$C$41=""</formula>
    </cfRule>
  </conditionalFormatting>
  <conditionalFormatting sqref="E13:E43">
    <cfRule type="expression" dxfId="66" priority="73">
      <formula>IF(OR($E13="fet",$E13="dot"),1,0)</formula>
    </cfRule>
  </conditionalFormatting>
  <conditionalFormatting sqref="E42:I42">
    <cfRule type="expression" dxfId="65" priority="67">
      <formula>$C$42=""</formula>
    </cfRule>
  </conditionalFormatting>
  <conditionalFormatting sqref="E43:I43">
    <cfRule type="expression" dxfId="64" priority="66">
      <formula>$C$43=""</formula>
    </cfRule>
  </conditionalFormatting>
  <conditionalFormatting sqref="E41:I41">
    <cfRule type="expression" dxfId="63" priority="65">
      <formula>$C$41=""</formula>
    </cfRule>
  </conditionalFormatting>
  <conditionalFormatting sqref="E42:I42">
    <cfRule type="expression" dxfId="62" priority="64">
      <formula>$C$42=""</formula>
    </cfRule>
  </conditionalFormatting>
  <conditionalFormatting sqref="E43:I43">
    <cfRule type="expression" dxfId="61" priority="63">
      <formula>$C$43=""</formula>
    </cfRule>
  </conditionalFormatting>
  <conditionalFormatting sqref="E41:I41">
    <cfRule type="expression" dxfId="60" priority="62">
      <formula>$C$41=""</formula>
    </cfRule>
  </conditionalFormatting>
  <conditionalFormatting sqref="E42:I42">
    <cfRule type="expression" dxfId="59" priority="61">
      <formula>$C$42=""</formula>
    </cfRule>
  </conditionalFormatting>
  <conditionalFormatting sqref="E43:I43">
    <cfRule type="expression" dxfId="58" priority="60">
      <formula>$C$43=""</formula>
    </cfRule>
  </conditionalFormatting>
  <conditionalFormatting sqref="E41:I41">
    <cfRule type="expression" dxfId="57" priority="59">
      <formula>$C$41=""</formula>
    </cfRule>
  </conditionalFormatting>
  <conditionalFormatting sqref="E42:I42">
    <cfRule type="expression" dxfId="56" priority="58">
      <formula>$C$42=""</formula>
    </cfRule>
  </conditionalFormatting>
  <conditionalFormatting sqref="E43:I43">
    <cfRule type="expression" dxfId="55" priority="57">
      <formula>$C$43=""</formula>
    </cfRule>
  </conditionalFormatting>
  <conditionalFormatting sqref="E41:I41">
    <cfRule type="expression" dxfId="54" priority="56">
      <formula>$C$41=""</formula>
    </cfRule>
  </conditionalFormatting>
  <conditionalFormatting sqref="E42:I42">
    <cfRule type="expression" dxfId="53" priority="55">
      <formula>$C$42=""</formula>
    </cfRule>
  </conditionalFormatting>
  <conditionalFormatting sqref="E43:I43">
    <cfRule type="expression" dxfId="52" priority="54">
      <formula>$C$43=""</formula>
    </cfRule>
  </conditionalFormatting>
  <conditionalFormatting sqref="E41:I41">
    <cfRule type="expression" dxfId="51" priority="53">
      <formula>$C$41=""</formula>
    </cfRule>
  </conditionalFormatting>
  <conditionalFormatting sqref="E42:I42">
    <cfRule type="expression" dxfId="50" priority="52">
      <formula>$C$42=""</formula>
    </cfRule>
  </conditionalFormatting>
  <conditionalFormatting sqref="E43:I43">
    <cfRule type="expression" dxfId="49" priority="51">
      <formula>$C$43=""</formula>
    </cfRule>
  </conditionalFormatting>
  <conditionalFormatting sqref="E41:I41">
    <cfRule type="expression" dxfId="48" priority="50">
      <formula>$C$41=""</formula>
    </cfRule>
  </conditionalFormatting>
  <conditionalFormatting sqref="E42:I42">
    <cfRule type="expression" dxfId="47" priority="49">
      <formula>$C$42=""</formula>
    </cfRule>
  </conditionalFormatting>
  <conditionalFormatting sqref="E43:I43">
    <cfRule type="expression" dxfId="46" priority="48">
      <formula>$C$43=""</formula>
    </cfRule>
  </conditionalFormatting>
  <conditionalFormatting sqref="E41:I41">
    <cfRule type="expression" dxfId="45" priority="47">
      <formula>$C$41=""</formula>
    </cfRule>
  </conditionalFormatting>
  <conditionalFormatting sqref="E42:I42">
    <cfRule type="expression" dxfId="44" priority="46">
      <formula>$C$42=""</formula>
    </cfRule>
  </conditionalFormatting>
  <conditionalFormatting sqref="E43:I43">
    <cfRule type="expression" dxfId="43" priority="45">
      <formula>$C$43=""</formula>
    </cfRule>
  </conditionalFormatting>
  <conditionalFormatting sqref="E41:I41">
    <cfRule type="expression" dxfId="42" priority="44">
      <formula>$C$41=""</formula>
    </cfRule>
  </conditionalFormatting>
  <conditionalFormatting sqref="E42:I42">
    <cfRule type="expression" dxfId="41" priority="43">
      <formula>$C$42=""</formula>
    </cfRule>
  </conditionalFormatting>
  <conditionalFormatting sqref="E43:I43">
    <cfRule type="expression" dxfId="40" priority="42">
      <formula>$C$43=""</formula>
    </cfRule>
  </conditionalFormatting>
  <conditionalFormatting sqref="E41:I41">
    <cfRule type="expression" dxfId="39" priority="41">
      <formula>$C$41=""</formula>
    </cfRule>
  </conditionalFormatting>
  <conditionalFormatting sqref="E42:I42">
    <cfRule type="expression" dxfId="38" priority="40">
      <formula>$C$42=""</formula>
    </cfRule>
  </conditionalFormatting>
  <conditionalFormatting sqref="E43:I43">
    <cfRule type="expression" dxfId="37" priority="39">
      <formula>$C$43=""</formula>
    </cfRule>
  </conditionalFormatting>
  <conditionalFormatting sqref="E41:I41">
    <cfRule type="expression" dxfId="36" priority="38">
      <formula>$C$41=""</formula>
    </cfRule>
  </conditionalFormatting>
  <conditionalFormatting sqref="E42:I42">
    <cfRule type="expression" dxfId="35" priority="37">
      <formula>$C$42=""</formula>
    </cfRule>
  </conditionalFormatting>
  <conditionalFormatting sqref="E43:I43">
    <cfRule type="expression" dxfId="34" priority="36">
      <formula>$C$43=""</formula>
    </cfRule>
  </conditionalFormatting>
  <conditionalFormatting sqref="E41:I41">
    <cfRule type="expression" dxfId="33" priority="35">
      <formula>$C$41=""</formula>
    </cfRule>
  </conditionalFormatting>
  <conditionalFormatting sqref="E42:I42">
    <cfRule type="expression" dxfId="32" priority="34">
      <formula>$C$42=""</formula>
    </cfRule>
  </conditionalFormatting>
  <conditionalFormatting sqref="E43:I43">
    <cfRule type="expression" dxfId="31" priority="33">
      <formula>$C$43=""</formula>
    </cfRule>
  </conditionalFormatting>
  <conditionalFormatting sqref="E41:I41">
    <cfRule type="expression" dxfId="30" priority="32">
      <formula>$C$41=""</formula>
    </cfRule>
  </conditionalFormatting>
  <conditionalFormatting sqref="E42:I42">
    <cfRule type="expression" dxfId="29" priority="31">
      <formula>$C$42=""</formula>
    </cfRule>
  </conditionalFormatting>
  <conditionalFormatting sqref="E43:I43">
    <cfRule type="expression" dxfId="28" priority="30">
      <formula>$C$43=""</formula>
    </cfRule>
  </conditionalFormatting>
  <conditionalFormatting sqref="E41:I41">
    <cfRule type="expression" dxfId="27" priority="29">
      <formula>$C$41=""</formula>
    </cfRule>
  </conditionalFormatting>
  <conditionalFormatting sqref="E42:I42">
    <cfRule type="expression" dxfId="26" priority="28">
      <formula>$C$42=""</formula>
    </cfRule>
  </conditionalFormatting>
  <conditionalFormatting sqref="E43:I43">
    <cfRule type="expression" dxfId="25" priority="27">
      <formula>$C$43=""</formula>
    </cfRule>
  </conditionalFormatting>
  <conditionalFormatting sqref="E41:I41">
    <cfRule type="expression" dxfId="24" priority="26">
      <formula>$C$41=""</formula>
    </cfRule>
  </conditionalFormatting>
  <conditionalFormatting sqref="E42:I42">
    <cfRule type="expression" dxfId="23" priority="25">
      <formula>$C$42=""</formula>
    </cfRule>
  </conditionalFormatting>
  <conditionalFormatting sqref="E43:I43">
    <cfRule type="expression" dxfId="22" priority="24">
      <formula>$C$43=""</formula>
    </cfRule>
  </conditionalFormatting>
  <conditionalFormatting sqref="E41:I41">
    <cfRule type="expression" dxfId="21" priority="23">
      <formula>$C$41=""</formula>
    </cfRule>
  </conditionalFormatting>
  <conditionalFormatting sqref="E42:I42">
    <cfRule type="expression" dxfId="20" priority="22">
      <formula>$C$42=""</formula>
    </cfRule>
  </conditionalFormatting>
  <conditionalFormatting sqref="E43:I43">
    <cfRule type="expression" dxfId="19" priority="21">
      <formula>$C$43=""</formula>
    </cfRule>
  </conditionalFormatting>
  <conditionalFormatting sqref="E41:I41">
    <cfRule type="expression" dxfId="18" priority="20">
      <formula>$C$41=""</formula>
    </cfRule>
  </conditionalFormatting>
  <conditionalFormatting sqref="E42:I42">
    <cfRule type="expression" dxfId="17" priority="19">
      <formula>$C$42=""</formula>
    </cfRule>
  </conditionalFormatting>
  <conditionalFormatting sqref="E43:I43">
    <cfRule type="expression" dxfId="16" priority="18">
      <formula>$C$43=""</formula>
    </cfRule>
  </conditionalFormatting>
  <conditionalFormatting sqref="E41:I41">
    <cfRule type="expression" dxfId="15" priority="17">
      <formula>$C$41=""</formula>
    </cfRule>
  </conditionalFormatting>
  <conditionalFormatting sqref="E42:I42">
    <cfRule type="expression" dxfId="14" priority="16">
      <formula>$C$42=""</formula>
    </cfRule>
  </conditionalFormatting>
  <conditionalFormatting sqref="E43:I43">
    <cfRule type="expression" dxfId="13" priority="15">
      <formula>$C$43=""</formula>
    </cfRule>
  </conditionalFormatting>
  <conditionalFormatting sqref="E41:I41">
    <cfRule type="expression" dxfId="12" priority="14">
      <formula>$C$41=""</formula>
    </cfRule>
  </conditionalFormatting>
  <conditionalFormatting sqref="E42:I42">
    <cfRule type="expression" dxfId="11" priority="13">
      <formula>$C$42=""</formula>
    </cfRule>
  </conditionalFormatting>
  <conditionalFormatting sqref="E43:I43">
    <cfRule type="expression" dxfId="10" priority="12">
      <formula>$C$43=""</formula>
    </cfRule>
  </conditionalFormatting>
  <conditionalFormatting sqref="E41:I41">
    <cfRule type="expression" dxfId="9" priority="11">
      <formula>$C$41=""</formula>
    </cfRule>
  </conditionalFormatting>
  <conditionalFormatting sqref="E42:I42">
    <cfRule type="expression" dxfId="8" priority="10">
      <formula>$C$42=""</formula>
    </cfRule>
  </conditionalFormatting>
  <conditionalFormatting sqref="E43:I43">
    <cfRule type="expression" dxfId="7" priority="9">
      <formula>$C$43=""</formula>
    </cfRule>
  </conditionalFormatting>
  <conditionalFormatting sqref="E41:I41">
    <cfRule type="expression" dxfId="6" priority="8">
      <formula>$C$41=""</formula>
    </cfRule>
  </conditionalFormatting>
  <conditionalFormatting sqref="E42:I42">
    <cfRule type="expression" dxfId="5" priority="7">
      <formula>$C$42=""</formula>
    </cfRule>
  </conditionalFormatting>
  <conditionalFormatting sqref="E43:I43">
    <cfRule type="expression" dxfId="4" priority="6">
      <formula>$C$43=""</formula>
    </cfRule>
  </conditionalFormatting>
  <conditionalFormatting sqref="E41:I41">
    <cfRule type="expression" dxfId="3" priority="5">
      <formula>$C$41=""</formula>
    </cfRule>
  </conditionalFormatting>
  <conditionalFormatting sqref="E42:I42">
    <cfRule type="expression" dxfId="2" priority="4">
      <formula>$C$42=""</formula>
    </cfRule>
  </conditionalFormatting>
  <conditionalFormatting sqref="E43:I43">
    <cfRule type="expression" dxfId="1" priority="3">
      <formula>$C$43=""</formula>
    </cfRule>
  </conditionalFormatting>
  <conditionalFormatting sqref="E41:I41">
    <cfRule type="expression" dxfId="0" priority="2">
      <formula>$C$41=""</formula>
    </cfRule>
  </conditionalFormatting>
  <dataValidations count="6">
    <dataValidation type="custom" allowBlank="1" showInputMessage="1" showErrorMessage="1" errorTitle="Erro!" error="Formato ou tipo de dado inválido." sqref="F13:I43" xr:uid="{00000000-0002-0000-0000-000000000000}">
      <formula1>AC13&lt;&gt;"ERRO"</formula1>
    </dataValidation>
    <dataValidation type="date" operator="greaterThanOrEqual" showInputMessage="1" showErrorMessage="1" errorTitle="Erro!" error="Data inválida." sqref="E9" xr:uid="{00000000-0002-0000-0000-000002000000}">
      <formula1>1</formula1>
    </dataValidation>
    <dataValidation type="time" operator="greaterThanOrEqual" showInputMessage="1" showErrorMessage="1" errorTitle="Erro!" error="Valor inválido." sqref="O8" xr:uid="{00000000-0002-0000-0000-000003000000}">
      <formula1>0</formula1>
    </dataValidation>
    <dataValidation type="time" operator="greaterThanOrEqual" allowBlank="1" showInputMessage="1" showErrorMessage="1" errorTitle="Erro!" error="Valor inválido." sqref="P8" xr:uid="{00000000-0002-0000-0000-000004000000}">
      <formula1>0</formula1>
    </dataValidation>
    <dataValidation type="list" showInputMessage="1" showErrorMessage="1" errorTitle="Erro!" error="Opção inválida." sqref="H9" xr:uid="{00000000-0002-0000-0000-000001000000}">
      <formula1>$AJ$13:$AJ$16</formula1>
    </dataValidation>
    <dataValidation type="list" allowBlank="1" showInputMessage="1" showErrorMessage="1" errorTitle="Erro!" error="Opção inválida." sqref="E13:E43" xr:uid="{00000000-0002-0000-0000-000005000000}">
      <formula1>$AK$13:$AK$16</formula1>
    </dataValidation>
  </dataValidations>
  <printOptions horizontalCentered="1" verticalCentered="1"/>
  <pageMargins left="0.23622047244094491" right="0.23622047244094491" top="0.74803149606299213" bottom="0.35433070866141736" header="0.31496062992125984" footer="0.31496062992125984"/>
  <pageSetup paperSize="9" scale="55" fitToWidth="0" fitToHeight="0" orientation="landscape" r:id="rId1"/>
  <cellWatches>
    <cellWatch r="P47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Apuração de Jornada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Marcellus Biancardi</dc:creator>
  <cp:lastModifiedBy>Marcellus Biancardi</cp:lastModifiedBy>
  <cp:lastPrinted>2020-09-02T23:30:53Z</cp:lastPrinted>
  <dcterms:created xsi:type="dcterms:W3CDTF">2020-07-30T19:44:56Z</dcterms:created>
  <dcterms:modified xsi:type="dcterms:W3CDTF">2023-04-21T02:24:43Z</dcterms:modified>
</cp:coreProperties>
</file>